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90" windowWidth="26955" windowHeight="1255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2" hidden="1">계산작업!$B$2:$J$29</definedName>
    <definedName name="_xlnm._FilterDatabase" localSheetId="1" hidden="1">'기본작업-2'!$A$2:$I$31</definedName>
    <definedName name="_xlnm.Criteria" localSheetId="2">계산작업!#REF!</definedName>
    <definedName name="_xlnm.Criteria" localSheetId="1">'기본작업-2'!$A$33:$A$34</definedName>
    <definedName name="_xlnm.Extract" localSheetId="2">계산작업!#REF!</definedName>
    <definedName name="_xlnm.Extract" localSheetId="1">'기본작업-2'!$A$36:$I$36</definedName>
    <definedName name="MS_Access_Database_Query" localSheetId="0" hidden="1">'기본작업-1'!$B$2:$G$10</definedName>
    <definedName name="MS_Access_Database_Query" localSheetId="3" hidden="1">'분석작업-1'!#REF!</definedName>
  </definedName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P12" i="3" l="1" a="1"/>
  <c r="P12" i="3" s="1"/>
  <c r="P11" i="3" a="1"/>
  <c r="P11" i="3" s="1"/>
  <c r="C9" i="5" l="1"/>
  <c r="J3" i="3"/>
  <c r="E6" i="5" l="1"/>
  <c r="E5" i="5"/>
  <c r="E4" i="5"/>
  <c r="I31" i="3"/>
  <c r="D31" i="3"/>
  <c r="I30" i="3"/>
  <c r="D30" i="3"/>
  <c r="I29" i="3"/>
  <c r="D29" i="3"/>
  <c r="I28" i="3"/>
  <c r="D28" i="3"/>
  <c r="I27" i="3"/>
  <c r="D27" i="3"/>
  <c r="I26" i="3"/>
  <c r="D26" i="3"/>
  <c r="I25" i="3"/>
  <c r="D25" i="3"/>
  <c r="I24" i="3"/>
  <c r="D24" i="3"/>
  <c r="D23" i="3"/>
  <c r="I22" i="3"/>
  <c r="D22" i="3"/>
  <c r="I21" i="3"/>
  <c r="D21" i="3"/>
  <c r="I20" i="3"/>
  <c r="D20" i="3"/>
  <c r="I19" i="3"/>
  <c r="D19" i="3"/>
  <c r="I18" i="3"/>
  <c r="D18" i="3"/>
  <c r="I17" i="3"/>
  <c r="D17" i="3"/>
  <c r="I16" i="3"/>
  <c r="D16" i="3"/>
  <c r="I15" i="3"/>
  <c r="D15" i="3"/>
  <c r="I14" i="3"/>
  <c r="D14" i="3"/>
  <c r="I13" i="3"/>
  <c r="D13" i="3"/>
  <c r="O12" i="3" a="1"/>
  <c r="O12" i="3" s="1"/>
  <c r="N12" i="3" a="1"/>
  <c r="N12" i="3" s="1"/>
  <c r="M12" i="3" a="1"/>
  <c r="M12" i="3" s="1"/>
  <c r="I12" i="3"/>
  <c r="D12" i="3"/>
  <c r="O11" i="3"/>
  <c r="O11" i="3" a="1"/>
  <c r="N11" i="3"/>
  <c r="N11" i="3" a="1"/>
  <c r="M11" i="3"/>
  <c r="M11" i="3" a="1"/>
  <c r="I11" i="3"/>
  <c r="D11" i="3"/>
  <c r="I10" i="3"/>
  <c r="D10" i="3"/>
  <c r="I9" i="3"/>
  <c r="D9" i="3"/>
  <c r="I8" i="3"/>
  <c r="D8" i="3"/>
  <c r="I7" i="3"/>
  <c r="D7" i="3"/>
  <c r="I6" i="3"/>
  <c r="D6" i="3"/>
  <c r="I5" i="3"/>
  <c r="D5" i="3"/>
  <c r="M4" i="3"/>
  <c r="I23" i="3" s="1"/>
  <c r="I4" i="3"/>
  <c r="D4" i="3"/>
  <c r="M3" i="3"/>
  <c r="I3" i="3" s="1"/>
  <c r="D3" i="3"/>
  <c r="A34" i="2"/>
  <c r="J20" i="3"/>
  <c r="J5" i="3"/>
  <c r="J25" i="3"/>
  <c r="J9" i="3"/>
  <c r="J26" i="3"/>
  <c r="J10" i="3"/>
  <c r="J23" i="3"/>
  <c r="J16" i="3"/>
  <c r="J4" i="3"/>
  <c r="J21" i="3"/>
  <c r="J11" i="3"/>
  <c r="J22" i="3"/>
  <c r="J6" i="3"/>
  <c r="J28" i="3"/>
  <c r="J12" i="3"/>
  <c r="J17" i="3"/>
  <c r="J7" i="3"/>
  <c r="J18" i="3"/>
  <c r="J31" i="3"/>
  <c r="J15" i="3"/>
  <c r="J24" i="3"/>
  <c r="J8" i="3"/>
  <c r="J29" i="3"/>
  <c r="J13" i="3"/>
  <c r="J30" i="3"/>
  <c r="J14" i="3"/>
  <c r="J27" i="3"/>
  <c r="J19" i="3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3 최신기출문제\04 16년1회1급E형\상공중학교.accdb;DefaultDir=C:\길벗컴활1급\03 최신기출문제\04 16년1회1급E형;DriverId=25;FIL=MS Access;MaxBufferSize=2048;PageTimeout=5;" command="SELECT `1학년`.이름, `1학년`.성별, `1학년`.과목, `1학년`.구분, `1학년`.항목, `1학년`.받은점수_x000d__x000a_FROM `C:\길벗컴활1급\03 최신기출문제\04 16년1회1급E형\상공중학교.accdb`.`1학년` `1학년`_x000d__x000a_WHERE (`1학년`.구분='지필') AND (`1학년`.받은점수&gt;=70 And `1학년`.받은점수&lt;90)_x000d__x000a_ORDER BY `1학년`.항목, `1학년`.받은점수 DESC"/>
  </connection>
</connections>
</file>

<file path=xl/sharedStrings.xml><?xml version="1.0" encoding="utf-8"?>
<sst xmlns="http://schemas.openxmlformats.org/spreadsheetml/2006/main" count="664" uniqueCount="122">
  <si>
    <t>[표1]</t>
    <phoneticPr fontId="2" type="noConversion"/>
  </si>
  <si>
    <t>이름</t>
  </si>
  <si>
    <t>성별</t>
    <phoneticPr fontId="2" type="noConversion"/>
  </si>
  <si>
    <t>반-번호</t>
  </si>
  <si>
    <t>과목</t>
  </si>
  <si>
    <t>구분</t>
  </si>
  <si>
    <t>항목</t>
  </si>
  <si>
    <t>받은점수</t>
    <phoneticPr fontId="2" type="noConversion"/>
  </si>
  <si>
    <t>반영점수</t>
  </si>
  <si>
    <t>기타</t>
    <phoneticPr fontId="2" type="noConversion"/>
  </si>
  <si>
    <t>이민정</t>
  </si>
  <si>
    <t>여</t>
    <phoneticPr fontId="2" type="noConversion"/>
  </si>
  <si>
    <t>9-21</t>
  </si>
  <si>
    <t>국어</t>
  </si>
  <si>
    <t>지필</t>
  </si>
  <si>
    <t>중간고사</t>
  </si>
  <si>
    <t xml:space="preserve">  35%■■■</t>
  </si>
  <si>
    <t>과학</t>
  </si>
  <si>
    <t>수행</t>
  </si>
  <si>
    <t>실험</t>
  </si>
  <si>
    <t>30%■■</t>
  </si>
  <si>
    <t>사회</t>
  </si>
  <si>
    <t>발표</t>
  </si>
  <si>
    <t>20%■</t>
  </si>
  <si>
    <t>포트폴리오</t>
  </si>
  <si>
    <t xml:space="preserve"> 20%■</t>
  </si>
  <si>
    <t>20%■■</t>
  </si>
  <si>
    <t>강호민</t>
  </si>
  <si>
    <t>남</t>
    <phoneticPr fontId="2" type="noConversion"/>
  </si>
  <si>
    <t>12-19</t>
  </si>
  <si>
    <t>기말고사</t>
  </si>
  <si>
    <t xml:space="preserve"> 30%■■</t>
  </si>
  <si>
    <t>30%■■■</t>
  </si>
  <si>
    <t xml:space="preserve">  20%■</t>
  </si>
  <si>
    <t>10%■</t>
  </si>
  <si>
    <t>35%■■■</t>
  </si>
  <si>
    <t xml:space="preserve">  30%■■</t>
  </si>
  <si>
    <t>김영길</t>
  </si>
  <si>
    <t>10-3</t>
  </si>
  <si>
    <t>35%■■</t>
  </si>
  <si>
    <t>민호선</t>
  </si>
  <si>
    <t>7-29</t>
  </si>
  <si>
    <t xml:space="preserve">  30%■</t>
  </si>
  <si>
    <t>김종희</t>
  </si>
  <si>
    <t>13-31</t>
  </si>
  <si>
    <t>조건</t>
    <phoneticPr fontId="2" type="noConversion"/>
  </si>
  <si>
    <t>기타</t>
  </si>
  <si>
    <t>[표1]</t>
    <phoneticPr fontId="2" type="noConversion"/>
  </si>
  <si>
    <t>[표2] 반영비율표</t>
    <phoneticPr fontId="2" type="noConversion"/>
  </si>
  <si>
    <t>이름</t>
    <phoneticPr fontId="2" type="noConversion"/>
  </si>
  <si>
    <t>학생코드</t>
    <phoneticPr fontId="2" type="noConversion"/>
  </si>
  <si>
    <t>반-번호</t>
    <phoneticPr fontId="2" type="noConversion"/>
  </si>
  <si>
    <t>과목</t>
    <phoneticPr fontId="2" type="noConversion"/>
  </si>
  <si>
    <t>구분</t>
    <phoneticPr fontId="2" type="noConversion"/>
  </si>
  <si>
    <t>항목</t>
    <phoneticPr fontId="2" type="noConversion"/>
  </si>
  <si>
    <t>받은점수</t>
    <phoneticPr fontId="2" type="noConversion"/>
  </si>
  <si>
    <t>반영점수</t>
    <phoneticPr fontId="2" type="noConversion"/>
  </si>
  <si>
    <t>기타</t>
    <phoneticPr fontId="2" type="noConversion"/>
  </si>
  <si>
    <t>국어</t>
    <phoneticPr fontId="2" type="noConversion"/>
  </si>
  <si>
    <t>과학</t>
    <phoneticPr fontId="2" type="noConversion"/>
  </si>
  <si>
    <t>사회</t>
    <phoneticPr fontId="2" type="noConversion"/>
  </si>
  <si>
    <t>이민정</t>
    <phoneticPr fontId="2" type="noConversion"/>
  </si>
  <si>
    <t>J1009021</t>
    <phoneticPr fontId="2" type="noConversion"/>
  </si>
  <si>
    <t>지필</t>
    <phoneticPr fontId="2" type="noConversion"/>
  </si>
  <si>
    <t>중간고사</t>
    <phoneticPr fontId="2" type="noConversion"/>
  </si>
  <si>
    <t>수행</t>
    <phoneticPr fontId="2" type="noConversion"/>
  </si>
  <si>
    <t>실험</t>
    <phoneticPr fontId="2" type="noConversion"/>
  </si>
  <si>
    <t>기말고사</t>
    <phoneticPr fontId="2" type="noConversion"/>
  </si>
  <si>
    <t>발표</t>
    <phoneticPr fontId="2" type="noConversion"/>
  </si>
  <si>
    <t>포트폴리오</t>
    <phoneticPr fontId="2" type="noConversion"/>
  </si>
  <si>
    <t>강호민</t>
    <phoneticPr fontId="2" type="noConversion"/>
  </si>
  <si>
    <t>J2012019</t>
    <phoneticPr fontId="2" type="noConversion"/>
  </si>
  <si>
    <t>[표3]</t>
    <phoneticPr fontId="2" type="noConversion"/>
  </si>
  <si>
    <t>평균(표준편차)</t>
    <phoneticPr fontId="2" type="noConversion"/>
  </si>
  <si>
    <t>김영길</t>
    <phoneticPr fontId="2" type="noConversion"/>
  </si>
  <si>
    <t>J1010003</t>
    <phoneticPr fontId="2" type="noConversion"/>
  </si>
  <si>
    <t>민호선</t>
    <phoneticPr fontId="2" type="noConversion"/>
  </si>
  <si>
    <t>J1007029</t>
    <phoneticPr fontId="2" type="noConversion"/>
  </si>
  <si>
    <t>김종희</t>
    <phoneticPr fontId="2" type="noConversion"/>
  </si>
  <si>
    <t>J2013031</t>
    <phoneticPr fontId="2" type="noConversion"/>
  </si>
  <si>
    <t>[표1] 요금표</t>
    <phoneticPr fontId="2" type="noConversion"/>
  </si>
  <si>
    <t>할인율</t>
    <phoneticPr fontId="2" type="noConversion"/>
  </si>
  <si>
    <t>기본요금</t>
    <phoneticPr fontId="2" type="noConversion"/>
  </si>
  <si>
    <t>일반요금</t>
    <phoneticPr fontId="2" type="noConversion"/>
  </si>
  <si>
    <t>할인요금</t>
    <phoneticPr fontId="2" type="noConversion"/>
  </si>
  <si>
    <t>성인</t>
    <phoneticPr fontId="2" type="noConversion"/>
  </si>
  <si>
    <t>학생</t>
    <phoneticPr fontId="2" type="noConversion"/>
  </si>
  <si>
    <t>어린이</t>
    <phoneticPr fontId="2" type="noConversion"/>
  </si>
  <si>
    <t>[표1] 국어 성적</t>
    <phoneticPr fontId="2" type="noConversion"/>
  </si>
  <si>
    <t>수행평가</t>
    <phoneticPr fontId="2" type="noConversion"/>
  </si>
  <si>
    <t xml:space="preserve">[표1] </t>
    <phoneticPr fontId="2" type="noConversion"/>
  </si>
  <si>
    <t>순번</t>
    <phoneticPr fontId="2" type="noConversion"/>
  </si>
  <si>
    <t>예약자</t>
    <phoneticPr fontId="2" type="noConversion"/>
  </si>
  <si>
    <t>전화번호</t>
    <phoneticPr fontId="2" type="noConversion"/>
  </si>
  <si>
    <t>방이름</t>
    <phoneticPr fontId="2" type="noConversion"/>
  </si>
  <si>
    <t>날짜</t>
    <phoneticPr fontId="2" type="noConversion"/>
  </si>
  <si>
    <t>이용기간</t>
    <phoneticPr fontId="2" type="noConversion"/>
  </si>
  <si>
    <t>이용금액</t>
    <phoneticPr fontId="2" type="noConversion"/>
  </si>
  <si>
    <t>금액</t>
    <phoneticPr fontId="2" type="noConversion"/>
  </si>
  <si>
    <t>홍길동</t>
  </si>
  <si>
    <t>010-000-0000</t>
  </si>
  <si>
    <t>목련</t>
  </si>
  <si>
    <t>2016-06-20</t>
  </si>
  <si>
    <t>2박</t>
  </si>
  <si>
    <t>장미</t>
    <phoneticPr fontId="2" type="noConversion"/>
  </si>
  <si>
    <t>목련</t>
    <phoneticPr fontId="2" type="noConversion"/>
  </si>
  <si>
    <t>진달래</t>
    <phoneticPr fontId="2" type="noConversion"/>
  </si>
  <si>
    <t>해바라기</t>
    <phoneticPr fontId="2" type="noConversion"/>
  </si>
  <si>
    <t>백일홍</t>
    <phoneticPr fontId="2" type="noConversion"/>
  </si>
  <si>
    <t>성별</t>
  </si>
  <si>
    <t>받은점수</t>
  </si>
  <si>
    <t>남</t>
  </si>
  <si>
    <t>여</t>
  </si>
  <si>
    <t>반영비율</t>
  </si>
  <si>
    <t>(모두)</t>
  </si>
  <si>
    <t>평균 : 반영비율</t>
  </si>
  <si>
    <t>평균 : 받은점수</t>
  </si>
  <si>
    <t>전체 평균 : 받은점수</t>
  </si>
  <si>
    <t>전체 평균 : 반영비율</t>
  </si>
  <si>
    <t>값</t>
  </si>
  <si>
    <t>국어 요약</t>
  </si>
  <si>
    <t>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</si>
</sst>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.0_ 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0" fontId="7" fillId="0" borderId="0"/>
  </cellStyleXfs>
  <cellXfs count="3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1" xfId="2" applyNumberFormat="1" applyFont="1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2" applyNumberFormat="1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9" fontId="0" fillId="0" borderId="1" xfId="2" applyFont="1" applyFill="1" applyBorder="1">
      <alignment vertical="center"/>
    </xf>
    <xf numFmtId="0" fontId="4" fillId="0" borderId="1" xfId="3" applyFont="1" applyFill="1" applyBorder="1" applyAlignment="1">
      <alignment horizontal="center"/>
    </xf>
    <xf numFmtId="9" fontId="0" fillId="0" borderId="0" xfId="2" applyFont="1" applyFill="1">
      <alignment vertical="center"/>
    </xf>
    <xf numFmtId="0" fontId="0" fillId="0" borderId="0" xfId="0" quotePrefix="1" applyFill="1" applyAlignment="1">
      <alignment horizontal="center" vertical="center"/>
    </xf>
    <xf numFmtId="0" fontId="4" fillId="0" borderId="0" xfId="3" applyFont="1" applyFill="1" applyBorder="1" applyAlignment="1">
      <alignment horizontal="center"/>
    </xf>
    <xf numFmtId="9" fontId="0" fillId="0" borderId="0" xfId="0" applyNumberForma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41" fontId="0" fillId="3" borderId="1" xfId="1" applyFont="1" applyFill="1" applyBorder="1">
      <alignment vertical="center"/>
    </xf>
    <xf numFmtId="9" fontId="0" fillId="3" borderId="1" xfId="0" applyNumberFormat="1" applyFill="1" applyBorder="1">
      <alignment vertical="center"/>
    </xf>
    <xf numFmtId="0" fontId="5" fillId="0" borderId="0" xfId="0" applyFont="1" applyFill="1" applyBorder="1" applyAlignment="1">
      <alignment vertical="center"/>
    </xf>
    <xf numFmtId="41" fontId="0" fillId="4" borderId="1" xfId="1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>
      <alignment vertical="center"/>
    </xf>
    <xf numFmtId="41" fontId="0" fillId="0" borderId="1" xfId="1" applyFont="1" applyBorder="1" applyAlignment="1">
      <alignment horizontal="center" vertical="center"/>
    </xf>
    <xf numFmtId="0" fontId="6" fillId="5" borderId="3" xfId="4" applyFont="1" applyFill="1" applyBorder="1" applyAlignment="1">
      <alignment horizontal="center"/>
    </xf>
    <xf numFmtId="0" fontId="6" fillId="0" borderId="4" xfId="4" applyFont="1" applyFill="1" applyBorder="1" applyAlignment="1">
      <alignment wrapText="1"/>
    </xf>
    <xf numFmtId="0" fontId="6" fillId="0" borderId="4" xfId="4" applyFont="1" applyFill="1" applyBorder="1" applyAlignment="1">
      <alignment horizontal="right" wrapText="1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</cellXfs>
  <cellStyles count="5">
    <cellStyle name="백분율" xfId="2" builtinId="5"/>
    <cellStyle name="쉼표 [0]" xfId="1" builtinId="6"/>
    <cellStyle name="표준" xfId="0" builtinId="0"/>
    <cellStyle name="표준 2" xfId="3"/>
    <cellStyle name="표준_분석작업-1" xfId="4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국어 성적</a:t>
            </a:r>
          </a:p>
        </c:rich>
      </c:tx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중간고사</c:v>
                </c:pt>
              </c:strCache>
            </c:strRef>
          </c:tx>
          <c:cat>
            <c:strRef>
              <c:f>'기타작업-1'!$B$4:$B$8</c:f>
              <c:strCache>
                <c:ptCount val="5"/>
                <c:pt idx="0">
                  <c:v>이민정</c:v>
                </c:pt>
                <c:pt idx="1">
                  <c:v>강호민</c:v>
                </c:pt>
                <c:pt idx="2">
                  <c:v>김영길</c:v>
                </c:pt>
                <c:pt idx="3">
                  <c:v>민호선</c:v>
                </c:pt>
                <c:pt idx="4">
                  <c:v>김종희</c:v>
                </c:pt>
              </c:strCache>
            </c:strRef>
          </c:cat>
          <c:val>
            <c:numRef>
              <c:f>'기타작업-1'!$C$4:$C$8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84</c:v>
                </c:pt>
                <c:pt idx="3">
                  <c:v>88</c:v>
                </c:pt>
                <c:pt idx="4">
                  <c:v>100</c:v>
                </c:pt>
              </c:numCache>
            </c:numRef>
          </c:val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기말고사</c:v>
                </c:pt>
              </c:strCache>
            </c:strRef>
          </c:tx>
          <c:cat>
            <c:strRef>
              <c:f>'기타작업-1'!$B$4:$B$8</c:f>
              <c:strCache>
                <c:ptCount val="5"/>
                <c:pt idx="0">
                  <c:v>이민정</c:v>
                </c:pt>
                <c:pt idx="1">
                  <c:v>강호민</c:v>
                </c:pt>
                <c:pt idx="2">
                  <c:v>김영길</c:v>
                </c:pt>
                <c:pt idx="3">
                  <c:v>민호선</c:v>
                </c:pt>
                <c:pt idx="4">
                  <c:v>김종희</c:v>
                </c:pt>
              </c:strCache>
            </c:strRef>
          </c:cat>
          <c:val>
            <c:numRef>
              <c:f>'기타작업-1'!$D$4:$D$8</c:f>
              <c:numCache>
                <c:formatCode>General</c:formatCode>
                <c:ptCount val="5"/>
                <c:pt idx="0">
                  <c:v>64</c:v>
                </c:pt>
                <c:pt idx="1">
                  <c:v>85</c:v>
                </c:pt>
                <c:pt idx="2">
                  <c:v>100</c:v>
                </c:pt>
                <c:pt idx="3">
                  <c:v>72</c:v>
                </c:pt>
                <c:pt idx="4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78528"/>
        <c:axId val="38625280"/>
      </c:radarChart>
      <c:catAx>
        <c:axId val="29878528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38625280"/>
        <c:crosses val="autoZero"/>
        <c:auto val="1"/>
        <c:lblAlgn val="ctr"/>
        <c:lblOffset val="100"/>
        <c:noMultiLvlLbl val="0"/>
      </c:catAx>
      <c:valAx>
        <c:axId val="386252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38100"/>
        </c:spPr>
        <c:crossAx val="29878528"/>
        <c:crosses val="autoZero"/>
        <c:crossBetween val="between"/>
        <c:majorUnit val="20"/>
      </c:valAx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할인요금" textlink="">
      <xdr:nvSpPr>
        <xdr:cNvPr id="2" name="육각형 1"/>
        <xdr:cNvSpPr/>
      </xdr:nvSpPr>
      <xdr:spPr>
        <a:xfrm>
          <a:off x="3667125" y="209550"/>
          <a:ext cx="1371600" cy="4191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요금계산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0</xdr:colOff>
      <xdr:row>21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0</xdr:row>
          <xdr:rowOff>104775</xdr:rowOff>
        </xdr:from>
        <xdr:to>
          <xdr:col>7</xdr:col>
          <xdr:colOff>904875</xdr:colOff>
          <xdr:row>2</xdr:row>
          <xdr:rowOff>38100</xdr:rowOff>
        </xdr:to>
        <xdr:sp macro="" textlink="">
          <xdr:nvSpPr>
            <xdr:cNvPr id="3073" name="cmd펜션예약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8.468564236115" createdVersion="4" refreshedVersion="4" minRefreshableVersion="3" recordCount="29">
  <cacheSource type="worksheet">
    <worksheetSource ref="A1:G30" sheet="분석작업-1"/>
  </cacheSource>
  <cacheFields count="7">
    <cacheField name="이름" numFmtId="0">
      <sharedItems count="5">
        <s v="이민정"/>
        <s v="강호민"/>
        <s v="김영길"/>
        <s v="민호선"/>
        <s v="김종희"/>
      </sharedItems>
    </cacheField>
    <cacheField name="과목" numFmtId="0">
      <sharedItems count="3">
        <s v="국어"/>
        <s v="과학"/>
        <s v="사회"/>
      </sharedItems>
    </cacheField>
    <cacheField name="구분" numFmtId="0">
      <sharedItems count="2">
        <s v="지필"/>
        <s v="수행"/>
      </sharedItems>
    </cacheField>
    <cacheField name="항목" numFmtId="0">
      <sharedItems count="5">
        <s v="중간고사"/>
        <s v="실험"/>
        <s v="발표"/>
        <s v="포트폴리오"/>
        <s v="기말고사"/>
      </sharedItems>
    </cacheField>
    <cacheField name="받은점수" numFmtId="0">
      <sharedItems containsSemiMixedTypes="0" containsString="0" containsNumber="1" containsInteger="1" minValue="64" maxValue="100"/>
    </cacheField>
    <cacheField name="반영점수" numFmtId="0">
      <sharedItems containsSemiMixedTypes="0" containsString="0" containsNumber="1" minValue="6.4" maxValue="35"/>
    </cacheField>
    <cacheField name="반영비율" numFmtId="0">
      <sharedItems containsSemiMixedTypes="0" containsString="0" containsNumber="1" minValue="0.1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x v="0"/>
    <x v="0"/>
    <n v="100"/>
    <n v="35"/>
    <n v="0.35"/>
  </r>
  <r>
    <x v="0"/>
    <x v="1"/>
    <x v="1"/>
    <x v="1"/>
    <n v="64"/>
    <n v="19.2"/>
    <n v="0.3"/>
  </r>
  <r>
    <x v="0"/>
    <x v="2"/>
    <x v="1"/>
    <x v="2"/>
    <n v="76"/>
    <n v="15.200000000000001"/>
    <n v="0.2"/>
  </r>
  <r>
    <x v="0"/>
    <x v="0"/>
    <x v="1"/>
    <x v="3"/>
    <n v="92"/>
    <n v="18.400000000000002"/>
    <n v="0.2"/>
  </r>
  <r>
    <x v="0"/>
    <x v="2"/>
    <x v="0"/>
    <x v="0"/>
    <n v="96"/>
    <n v="28.799999999999997"/>
    <n v="0.2"/>
  </r>
  <r>
    <x v="1"/>
    <x v="1"/>
    <x v="0"/>
    <x v="4"/>
    <n v="84"/>
    <n v="25.2"/>
    <n v="0.3"/>
  </r>
  <r>
    <x v="1"/>
    <x v="1"/>
    <x v="1"/>
    <x v="1"/>
    <n v="100"/>
    <n v="30"/>
    <n v="0.3"/>
  </r>
  <r>
    <x v="1"/>
    <x v="2"/>
    <x v="1"/>
    <x v="2"/>
    <n v="96"/>
    <n v="19.200000000000003"/>
    <n v="0.2"/>
  </r>
  <r>
    <x v="1"/>
    <x v="2"/>
    <x v="1"/>
    <x v="3"/>
    <n v="80"/>
    <n v="16"/>
    <n v="0.1"/>
  </r>
  <r>
    <x v="1"/>
    <x v="0"/>
    <x v="0"/>
    <x v="0"/>
    <n v="88"/>
    <n v="30.799999999999997"/>
    <n v="0.35"/>
  </r>
  <r>
    <x v="1"/>
    <x v="2"/>
    <x v="0"/>
    <x v="0"/>
    <n v="92"/>
    <n v="27.599999999999998"/>
    <n v="0.3"/>
  </r>
  <r>
    <x v="2"/>
    <x v="0"/>
    <x v="0"/>
    <x v="4"/>
    <n v="88"/>
    <n v="30.799999999999997"/>
    <n v="0.35"/>
  </r>
  <r>
    <x v="2"/>
    <x v="1"/>
    <x v="1"/>
    <x v="2"/>
    <n v="72"/>
    <n v="7.2"/>
    <n v="0.1"/>
  </r>
  <r>
    <x v="2"/>
    <x v="2"/>
    <x v="1"/>
    <x v="3"/>
    <n v="68"/>
    <n v="13.600000000000001"/>
    <n v="0.2"/>
  </r>
  <r>
    <x v="2"/>
    <x v="1"/>
    <x v="1"/>
    <x v="1"/>
    <n v="88"/>
    <n v="26.4"/>
    <n v="0.3"/>
  </r>
  <r>
    <x v="2"/>
    <x v="0"/>
    <x v="1"/>
    <x v="2"/>
    <n v="64"/>
    <n v="6.4"/>
    <n v="0.1"/>
  </r>
  <r>
    <x v="2"/>
    <x v="2"/>
    <x v="0"/>
    <x v="0"/>
    <n v="84"/>
    <n v="25.2"/>
    <n v="0.3"/>
  </r>
  <r>
    <x v="3"/>
    <x v="2"/>
    <x v="0"/>
    <x v="4"/>
    <n v="88"/>
    <n v="26.4"/>
    <n v="0.3"/>
  </r>
  <r>
    <x v="3"/>
    <x v="1"/>
    <x v="0"/>
    <x v="0"/>
    <n v="72"/>
    <n v="21.599999999999998"/>
    <n v="0.3"/>
  </r>
  <r>
    <x v="3"/>
    <x v="0"/>
    <x v="1"/>
    <x v="2"/>
    <n v="92"/>
    <n v="9.2000000000000011"/>
    <n v="0.1"/>
  </r>
  <r>
    <x v="3"/>
    <x v="0"/>
    <x v="0"/>
    <x v="4"/>
    <n v="100"/>
    <n v="35"/>
    <n v="0.35"/>
  </r>
  <r>
    <x v="3"/>
    <x v="1"/>
    <x v="1"/>
    <x v="1"/>
    <n v="64"/>
    <n v="19.2"/>
    <n v="0.3"/>
  </r>
  <r>
    <x v="3"/>
    <x v="2"/>
    <x v="1"/>
    <x v="3"/>
    <n v="88"/>
    <n v="17.600000000000001"/>
    <n v="0.2"/>
  </r>
  <r>
    <x v="4"/>
    <x v="0"/>
    <x v="1"/>
    <x v="2"/>
    <n v="100"/>
    <n v="10"/>
    <n v="0.2"/>
  </r>
  <r>
    <x v="4"/>
    <x v="1"/>
    <x v="0"/>
    <x v="0"/>
    <n v="80"/>
    <n v="24"/>
    <n v="0.3"/>
  </r>
  <r>
    <x v="4"/>
    <x v="2"/>
    <x v="1"/>
    <x v="3"/>
    <n v="72"/>
    <n v="14.4"/>
    <n v="0.2"/>
  </r>
  <r>
    <x v="4"/>
    <x v="1"/>
    <x v="1"/>
    <x v="1"/>
    <n v="92"/>
    <n v="27.599999999999998"/>
    <n v="0.3"/>
  </r>
  <r>
    <x v="4"/>
    <x v="2"/>
    <x v="0"/>
    <x v="4"/>
    <n v="72"/>
    <n v="21.599999999999998"/>
    <n v="0.3"/>
  </r>
  <r>
    <x v="4"/>
    <x v="0"/>
    <x v="1"/>
    <x v="3"/>
    <n v="100"/>
    <n v="20"/>
    <n v="0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dataPosition="0" applyNumberFormats="0" applyBorderFormats="0" applyFontFormats="0" applyPatternFormats="0" applyAlignmentFormats="0" applyWidthHeightFormats="1" dataCaption="값" missingCaption="**" updatedVersion="4" minRefreshableVersion="3" useAutoFormatting="1" colGrandTotals="0" itemPrintTitles="1" createdVersion="4" indent="0" compact="0" outline="1" outlineData="1" compactData="0" multipleFieldFilters="0">
  <location ref="I3:M20" firstHeaderRow="1" firstDataRow="2" firstDataCol="3" rowPageCount="1" colPageCount="1"/>
  <pivotFields count="7">
    <pivotField axis="axisPage" compact="0" subtotalTop="0" showAll="0">
      <items count="6">
        <item x="1"/>
        <item x="2"/>
        <item x="4"/>
        <item x="3"/>
        <item x="0"/>
        <item t="default"/>
      </items>
    </pivotField>
    <pivotField axis="axisRow" compact="0" subtotalTop="0" showAll="0">
      <items count="4">
        <item h="1" x="1"/>
        <item x="0"/>
        <item h="1" x="2"/>
        <item t="default"/>
      </items>
    </pivotField>
    <pivotField axis="axisCol" compact="0" subtotalTop="0" showAll="0">
      <items count="3">
        <item x="1"/>
        <item x="0"/>
        <item t="default"/>
      </items>
    </pivotField>
    <pivotField axis="axisRow" compact="0" subtotalTop="0" showAll="0">
      <items count="6">
        <item x="4"/>
        <item x="2"/>
        <item x="1"/>
        <item x="0"/>
        <item x="3"/>
        <item t="default"/>
      </items>
    </pivotField>
    <pivotField dataField="1" compact="0" subtotalTop="0" showAll="0"/>
    <pivotField compact="0" subtotalTop="0" showAll="0"/>
    <pivotField dataField="1" compact="0" subtotalTop="0" showAll="0"/>
  </pivotFields>
  <rowFields count="3">
    <field x="-2"/>
    <field x="1"/>
    <field x="3"/>
  </rowFields>
  <rowItems count="16">
    <i>
      <x/>
    </i>
    <i r="1">
      <x v="1"/>
    </i>
    <i r="2">
      <x/>
    </i>
    <i r="2">
      <x v="1"/>
    </i>
    <i r="2">
      <x v="3"/>
    </i>
    <i r="2">
      <x v="4"/>
    </i>
    <i t="default" r="1">
      <x v="1"/>
    </i>
    <i i="1">
      <x v="1"/>
    </i>
    <i r="1" i="1">
      <x v="1"/>
    </i>
    <i r="2" i="1">
      <x/>
    </i>
    <i r="2" i="1">
      <x v="1"/>
    </i>
    <i r="2" i="1">
      <x v="3"/>
    </i>
    <i r="2" i="1">
      <x v="4"/>
    </i>
    <i t="default" r="1" i="1">
      <x v="1"/>
    </i>
    <i t="grand">
      <x/>
    </i>
    <i t="grand" i="1">
      <x/>
    </i>
  </rowItems>
  <colFields count="1">
    <field x="2"/>
  </colFields>
  <colItems count="2">
    <i>
      <x/>
    </i>
    <i>
      <x v="1"/>
    </i>
  </colItems>
  <pageFields count="1">
    <pageField fld="0" hier="-1"/>
  </pageFields>
  <dataFields count="2">
    <dataField name="평균 : 받은점수" fld="4" subtotal="average" baseField="3" baseItem="1" numFmtId="176"/>
    <dataField name="평균 : 반영비율" fld="6" subtotal="average" baseField="1" baseItem="1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이름" tableColumnId="1"/>
      <queryTableField id="2" name="성별" tableColumnId="2"/>
      <queryTableField id="3" name="과목" tableColumnId="3"/>
      <queryTableField id="4" name="구분" tableColumnId="4"/>
      <queryTableField id="5" name="항목" tableColumnId="5"/>
      <queryTableField id="6" name="받은점수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표_MS_Access_Database_Query" displayName="표_MS_Access_Database_Query" ref="B2:G10" tableType="queryTable" totalsRowShown="0">
  <autoFilter ref="B2:G10"/>
  <tableColumns count="6">
    <tableColumn id="1" uniqueName="1" name="이름" queryTableFieldId="1"/>
    <tableColumn id="2" uniqueName="2" name="성별" queryTableFieldId="2"/>
    <tableColumn id="3" uniqueName="3" name="과목" queryTableFieldId="3"/>
    <tableColumn id="4" uniqueName="4" name="구분" queryTableFieldId="4"/>
    <tableColumn id="5" uniqueName="5" name="항목" queryTableFieldId="5"/>
    <tableColumn id="6" uniqueName="6" name="받은점수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10"/>
  <sheetViews>
    <sheetView tabSelected="1" workbookViewId="0"/>
  </sheetViews>
  <sheetFormatPr defaultRowHeight="16.5"/>
  <cols>
    <col min="2" max="5" width="7.5" bestFit="1" customWidth="1"/>
    <col min="7" max="7" width="11.25" bestFit="1" customWidth="1"/>
  </cols>
  <sheetData>
    <row r="2" spans="2:7">
      <c r="B2" t="s">
        <v>1</v>
      </c>
      <c r="C2" t="s">
        <v>109</v>
      </c>
      <c r="D2" t="s">
        <v>4</v>
      </c>
      <c r="E2" t="s">
        <v>5</v>
      </c>
      <c r="F2" t="s">
        <v>6</v>
      </c>
      <c r="G2" t="s">
        <v>110</v>
      </c>
    </row>
    <row r="3" spans="2:7">
      <c r="B3" t="s">
        <v>40</v>
      </c>
      <c r="C3" t="s">
        <v>111</v>
      </c>
      <c r="D3" t="s">
        <v>21</v>
      </c>
      <c r="E3" t="s">
        <v>14</v>
      </c>
      <c r="F3" t="s">
        <v>30</v>
      </c>
      <c r="G3">
        <v>88</v>
      </c>
    </row>
    <row r="4" spans="2:7">
      <c r="B4" t="s">
        <v>37</v>
      </c>
      <c r="C4" t="s">
        <v>111</v>
      </c>
      <c r="D4" t="s">
        <v>13</v>
      </c>
      <c r="E4" t="s">
        <v>14</v>
      </c>
      <c r="F4" t="s">
        <v>30</v>
      </c>
      <c r="G4">
        <v>88</v>
      </c>
    </row>
    <row r="5" spans="2:7">
      <c r="B5" t="s">
        <v>27</v>
      </c>
      <c r="C5" t="s">
        <v>111</v>
      </c>
      <c r="D5" t="s">
        <v>17</v>
      </c>
      <c r="E5" t="s">
        <v>14</v>
      </c>
      <c r="F5" t="s">
        <v>30</v>
      </c>
      <c r="G5">
        <v>84</v>
      </c>
    </row>
    <row r="6" spans="2:7">
      <c r="B6" t="s">
        <v>43</v>
      </c>
      <c r="C6" t="s">
        <v>112</v>
      </c>
      <c r="D6" t="s">
        <v>21</v>
      </c>
      <c r="E6" t="s">
        <v>14</v>
      </c>
      <c r="F6" t="s">
        <v>30</v>
      </c>
      <c r="G6">
        <v>72</v>
      </c>
    </row>
    <row r="7" spans="2:7">
      <c r="B7" t="s">
        <v>27</v>
      </c>
      <c r="C7" t="s">
        <v>111</v>
      </c>
      <c r="D7" t="s">
        <v>13</v>
      </c>
      <c r="E7" t="s">
        <v>14</v>
      </c>
      <c r="F7" t="s">
        <v>15</v>
      </c>
      <c r="G7">
        <v>88</v>
      </c>
    </row>
    <row r="8" spans="2:7">
      <c r="B8" t="s">
        <v>37</v>
      </c>
      <c r="C8" t="s">
        <v>111</v>
      </c>
      <c r="D8" t="s">
        <v>21</v>
      </c>
      <c r="E8" t="s">
        <v>14</v>
      </c>
      <c r="F8" t="s">
        <v>15</v>
      </c>
      <c r="G8">
        <v>84</v>
      </c>
    </row>
    <row r="9" spans="2:7">
      <c r="B9" t="s">
        <v>43</v>
      </c>
      <c r="C9" t="s">
        <v>112</v>
      </c>
      <c r="D9" t="s">
        <v>17</v>
      </c>
      <c r="E9" t="s">
        <v>14</v>
      </c>
      <c r="F9" t="s">
        <v>15</v>
      </c>
      <c r="G9">
        <v>80</v>
      </c>
    </row>
    <row r="10" spans="2:7">
      <c r="B10" t="s">
        <v>40</v>
      </c>
      <c r="C10" t="s">
        <v>111</v>
      </c>
      <c r="D10" t="s">
        <v>17</v>
      </c>
      <c r="E10" t="s">
        <v>14</v>
      </c>
      <c r="F10" t="s">
        <v>15</v>
      </c>
      <c r="G10">
        <v>72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0"/>
  <sheetViews>
    <sheetView workbookViewId="0"/>
  </sheetViews>
  <sheetFormatPr defaultRowHeight="16.5"/>
  <cols>
    <col min="1" max="1" width="10" customWidth="1"/>
    <col min="2" max="2" width="5.25" bestFit="1" customWidth="1"/>
    <col min="6" max="6" width="13" bestFit="1" customWidth="1"/>
    <col min="7" max="7" width="9.625" bestFit="1" customWidth="1"/>
    <col min="8" max="8" width="10.25" customWidth="1"/>
    <col min="9" max="9" width="14.375" customWidth="1"/>
  </cols>
  <sheetData>
    <row r="1" spans="1:11">
      <c r="A1" t="s">
        <v>0</v>
      </c>
    </row>
    <row r="2" spans="1:11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1:11">
      <c r="A3" s="1" t="s">
        <v>10</v>
      </c>
      <c r="B3" s="1" t="s">
        <v>11</v>
      </c>
      <c r="C3" s="1" t="s">
        <v>12</v>
      </c>
      <c r="D3" s="1" t="s">
        <v>13</v>
      </c>
      <c r="E3" s="1" t="s">
        <v>14</v>
      </c>
      <c r="F3" s="1" t="s">
        <v>15</v>
      </c>
      <c r="G3" s="2">
        <v>100</v>
      </c>
      <c r="H3" s="2">
        <v>35</v>
      </c>
      <c r="I3" s="3" t="s">
        <v>16</v>
      </c>
    </row>
    <row r="4" spans="1:11">
      <c r="A4" s="1" t="s">
        <v>10</v>
      </c>
      <c r="B4" s="1" t="s">
        <v>11</v>
      </c>
      <c r="C4" s="1" t="s">
        <v>12</v>
      </c>
      <c r="D4" s="1" t="s">
        <v>17</v>
      </c>
      <c r="E4" s="1" t="s">
        <v>18</v>
      </c>
      <c r="F4" s="1" t="s">
        <v>19</v>
      </c>
      <c r="G4" s="2">
        <v>64</v>
      </c>
      <c r="H4" s="2">
        <v>19.2</v>
      </c>
      <c r="I4" s="3" t="s">
        <v>20</v>
      </c>
    </row>
    <row r="5" spans="1:11">
      <c r="A5" s="1" t="s">
        <v>10</v>
      </c>
      <c r="B5" s="1" t="s">
        <v>11</v>
      </c>
      <c r="C5" s="1" t="s">
        <v>12</v>
      </c>
      <c r="D5" s="1" t="s">
        <v>21</v>
      </c>
      <c r="E5" s="1" t="s">
        <v>18</v>
      </c>
      <c r="F5" s="1" t="s">
        <v>22</v>
      </c>
      <c r="G5" s="2">
        <v>76</v>
      </c>
      <c r="H5" s="2">
        <v>15.200000000000001</v>
      </c>
      <c r="I5" s="3" t="s">
        <v>23</v>
      </c>
    </row>
    <row r="6" spans="1:11">
      <c r="A6" s="1" t="s">
        <v>10</v>
      </c>
      <c r="B6" s="1" t="s">
        <v>11</v>
      </c>
      <c r="C6" s="1" t="s">
        <v>12</v>
      </c>
      <c r="D6" s="1" t="s">
        <v>13</v>
      </c>
      <c r="E6" s="1" t="s">
        <v>18</v>
      </c>
      <c r="F6" s="1" t="s">
        <v>24</v>
      </c>
      <c r="G6" s="2">
        <v>92</v>
      </c>
      <c r="H6" s="2">
        <v>18.400000000000002</v>
      </c>
      <c r="I6" s="3" t="s">
        <v>25</v>
      </c>
      <c r="K6" s="4"/>
    </row>
    <row r="7" spans="1:11">
      <c r="A7" s="1" t="s">
        <v>10</v>
      </c>
      <c r="B7" s="1" t="s">
        <v>11</v>
      </c>
      <c r="C7" s="1" t="s">
        <v>12</v>
      </c>
      <c r="D7" s="1" t="s">
        <v>21</v>
      </c>
      <c r="E7" s="1" t="s">
        <v>14</v>
      </c>
      <c r="F7" s="1" t="s">
        <v>15</v>
      </c>
      <c r="G7" s="2">
        <v>96</v>
      </c>
      <c r="H7" s="2">
        <v>28.799999999999997</v>
      </c>
      <c r="I7" s="3" t="s">
        <v>26</v>
      </c>
      <c r="K7" s="4"/>
    </row>
    <row r="8" spans="1:11">
      <c r="A8" s="1" t="s">
        <v>27</v>
      </c>
      <c r="B8" s="1" t="s">
        <v>28</v>
      </c>
      <c r="C8" s="1" t="s">
        <v>29</v>
      </c>
      <c r="D8" s="1" t="s">
        <v>17</v>
      </c>
      <c r="E8" s="1" t="s">
        <v>14</v>
      </c>
      <c r="F8" s="1" t="s">
        <v>30</v>
      </c>
      <c r="G8" s="2">
        <v>84</v>
      </c>
      <c r="H8" s="2">
        <v>25.2</v>
      </c>
      <c r="I8" s="3" t="s">
        <v>31</v>
      </c>
      <c r="K8" s="4"/>
    </row>
    <row r="9" spans="1:11">
      <c r="A9" s="1" t="s">
        <v>27</v>
      </c>
      <c r="B9" s="1" t="s">
        <v>28</v>
      </c>
      <c r="C9" s="1" t="s">
        <v>29</v>
      </c>
      <c r="D9" s="1" t="s">
        <v>17</v>
      </c>
      <c r="E9" s="1" t="s">
        <v>18</v>
      </c>
      <c r="F9" s="1" t="s">
        <v>19</v>
      </c>
      <c r="G9" s="2">
        <v>100</v>
      </c>
      <c r="H9" s="2">
        <v>30</v>
      </c>
      <c r="I9" s="3" t="s">
        <v>32</v>
      </c>
      <c r="K9" s="4"/>
    </row>
    <row r="10" spans="1:11">
      <c r="A10" s="1" t="s">
        <v>27</v>
      </c>
      <c r="B10" s="1" t="s">
        <v>28</v>
      </c>
      <c r="C10" s="1" t="s">
        <v>29</v>
      </c>
      <c r="D10" s="1" t="s">
        <v>21</v>
      </c>
      <c r="E10" s="1" t="s">
        <v>18</v>
      </c>
      <c r="F10" s="1" t="s">
        <v>22</v>
      </c>
      <c r="G10" s="2">
        <v>96</v>
      </c>
      <c r="H10" s="2">
        <v>19.200000000000003</v>
      </c>
      <c r="I10" s="3" t="s">
        <v>33</v>
      </c>
      <c r="K10" s="4"/>
    </row>
    <row r="11" spans="1:11">
      <c r="A11" s="1" t="s">
        <v>27</v>
      </c>
      <c r="B11" s="1" t="s">
        <v>28</v>
      </c>
      <c r="C11" s="1" t="s">
        <v>29</v>
      </c>
      <c r="D11" s="1" t="s">
        <v>21</v>
      </c>
      <c r="E11" s="1" t="s">
        <v>18</v>
      </c>
      <c r="F11" s="1" t="s">
        <v>24</v>
      </c>
      <c r="G11" s="2">
        <v>80</v>
      </c>
      <c r="H11" s="2">
        <v>16</v>
      </c>
      <c r="I11" s="3" t="s">
        <v>34</v>
      </c>
      <c r="K11" s="4"/>
    </row>
    <row r="12" spans="1:11">
      <c r="A12" s="1" t="s">
        <v>27</v>
      </c>
      <c r="B12" s="1" t="s">
        <v>28</v>
      </c>
      <c r="C12" s="1" t="s">
        <v>29</v>
      </c>
      <c r="D12" s="1" t="s">
        <v>13</v>
      </c>
      <c r="E12" s="1" t="s">
        <v>14</v>
      </c>
      <c r="F12" s="1" t="s">
        <v>15</v>
      </c>
      <c r="G12" s="2">
        <v>88</v>
      </c>
      <c r="H12" s="2">
        <v>30.799999999999997</v>
      </c>
      <c r="I12" s="3" t="s">
        <v>35</v>
      </c>
      <c r="K12" s="4"/>
    </row>
    <row r="13" spans="1:11">
      <c r="A13" s="1" t="s">
        <v>27</v>
      </c>
      <c r="B13" s="1" t="s">
        <v>28</v>
      </c>
      <c r="C13" s="1" t="s">
        <v>29</v>
      </c>
      <c r="D13" s="1" t="s">
        <v>21</v>
      </c>
      <c r="E13" s="1" t="s">
        <v>14</v>
      </c>
      <c r="F13" s="1" t="s">
        <v>15</v>
      </c>
      <c r="G13" s="2">
        <v>92</v>
      </c>
      <c r="H13" s="2">
        <v>27.599999999999998</v>
      </c>
      <c r="I13" s="3" t="s">
        <v>36</v>
      </c>
      <c r="K13" s="4"/>
    </row>
    <row r="14" spans="1:11">
      <c r="A14" s="1" t="s">
        <v>37</v>
      </c>
      <c r="B14" s="1" t="s">
        <v>28</v>
      </c>
      <c r="C14" s="1" t="s">
        <v>38</v>
      </c>
      <c r="D14" s="1" t="s">
        <v>13</v>
      </c>
      <c r="E14" s="1" t="s">
        <v>14</v>
      </c>
      <c r="F14" s="1" t="s">
        <v>30</v>
      </c>
      <c r="G14" s="2">
        <v>88</v>
      </c>
      <c r="H14" s="2">
        <v>30.799999999999997</v>
      </c>
      <c r="I14" s="3" t="s">
        <v>39</v>
      </c>
      <c r="K14" s="4"/>
    </row>
    <row r="15" spans="1:11">
      <c r="A15" s="1" t="s">
        <v>37</v>
      </c>
      <c r="B15" s="1" t="s">
        <v>28</v>
      </c>
      <c r="C15" s="1" t="s">
        <v>38</v>
      </c>
      <c r="D15" s="1" t="s">
        <v>17</v>
      </c>
      <c r="E15" s="1" t="s">
        <v>18</v>
      </c>
      <c r="F15" s="1" t="s">
        <v>22</v>
      </c>
      <c r="G15" s="2">
        <v>72</v>
      </c>
      <c r="H15" s="2">
        <v>7.2</v>
      </c>
      <c r="I15" s="3" t="s">
        <v>34</v>
      </c>
    </row>
    <row r="16" spans="1:11">
      <c r="A16" s="1" t="s">
        <v>37</v>
      </c>
      <c r="B16" s="1" t="s">
        <v>28</v>
      </c>
      <c r="C16" s="1" t="s">
        <v>38</v>
      </c>
      <c r="D16" s="1" t="s">
        <v>21</v>
      </c>
      <c r="E16" s="1" t="s">
        <v>18</v>
      </c>
      <c r="F16" s="1" t="s">
        <v>24</v>
      </c>
      <c r="G16" s="2">
        <v>68</v>
      </c>
      <c r="H16" s="2">
        <v>13.600000000000001</v>
      </c>
      <c r="I16" s="3" t="s">
        <v>33</v>
      </c>
    </row>
    <row r="17" spans="1:9">
      <c r="A17" s="1" t="s">
        <v>37</v>
      </c>
      <c r="B17" s="1" t="s">
        <v>28</v>
      </c>
      <c r="C17" s="1" t="s">
        <v>38</v>
      </c>
      <c r="D17" s="1" t="s">
        <v>17</v>
      </c>
      <c r="E17" s="1" t="s">
        <v>18</v>
      </c>
      <c r="F17" s="1" t="s">
        <v>19</v>
      </c>
      <c r="G17" s="2">
        <v>88</v>
      </c>
      <c r="H17" s="2">
        <v>26.4</v>
      </c>
      <c r="I17" s="3" t="s">
        <v>20</v>
      </c>
    </row>
    <row r="18" spans="1:9">
      <c r="A18" s="1" t="s">
        <v>37</v>
      </c>
      <c r="B18" s="1" t="s">
        <v>28</v>
      </c>
      <c r="C18" s="1" t="s">
        <v>38</v>
      </c>
      <c r="D18" s="1" t="s">
        <v>13</v>
      </c>
      <c r="E18" s="1" t="s">
        <v>18</v>
      </c>
      <c r="F18" s="1" t="s">
        <v>22</v>
      </c>
      <c r="G18" s="2">
        <v>64</v>
      </c>
      <c r="H18" s="2">
        <v>6.4</v>
      </c>
      <c r="I18" s="3" t="s">
        <v>34</v>
      </c>
    </row>
    <row r="19" spans="1:9">
      <c r="A19" s="1" t="s">
        <v>37</v>
      </c>
      <c r="B19" s="1" t="s">
        <v>28</v>
      </c>
      <c r="C19" s="1" t="s">
        <v>38</v>
      </c>
      <c r="D19" s="1" t="s">
        <v>21</v>
      </c>
      <c r="E19" s="1" t="s">
        <v>14</v>
      </c>
      <c r="F19" s="1" t="s">
        <v>15</v>
      </c>
      <c r="G19" s="2">
        <v>84</v>
      </c>
      <c r="H19" s="2">
        <v>25.2</v>
      </c>
      <c r="I19" s="3" t="s">
        <v>36</v>
      </c>
    </row>
    <row r="20" spans="1:9">
      <c r="A20" s="1" t="s">
        <v>40</v>
      </c>
      <c r="B20" s="1" t="s">
        <v>28</v>
      </c>
      <c r="C20" s="1" t="s">
        <v>41</v>
      </c>
      <c r="D20" s="1" t="s">
        <v>21</v>
      </c>
      <c r="E20" s="1" t="s">
        <v>14</v>
      </c>
      <c r="F20" s="1" t="s">
        <v>30</v>
      </c>
      <c r="G20" s="2">
        <v>88</v>
      </c>
      <c r="H20" s="2">
        <v>26.4</v>
      </c>
      <c r="I20" s="3" t="s">
        <v>20</v>
      </c>
    </row>
    <row r="21" spans="1:9">
      <c r="A21" s="1" t="s">
        <v>40</v>
      </c>
      <c r="B21" s="1" t="s">
        <v>28</v>
      </c>
      <c r="C21" s="1" t="s">
        <v>41</v>
      </c>
      <c r="D21" s="1" t="s">
        <v>17</v>
      </c>
      <c r="E21" s="1" t="s">
        <v>14</v>
      </c>
      <c r="F21" s="1" t="s">
        <v>15</v>
      </c>
      <c r="G21" s="2">
        <v>72</v>
      </c>
      <c r="H21" s="2">
        <v>21.599999999999998</v>
      </c>
      <c r="I21" s="3" t="s">
        <v>20</v>
      </c>
    </row>
    <row r="22" spans="1:9">
      <c r="A22" s="1" t="s">
        <v>40</v>
      </c>
      <c r="B22" s="1" t="s">
        <v>28</v>
      </c>
      <c r="C22" s="1" t="s">
        <v>41</v>
      </c>
      <c r="D22" s="1" t="s">
        <v>13</v>
      </c>
      <c r="E22" s="1" t="s">
        <v>18</v>
      </c>
      <c r="F22" s="1" t="s">
        <v>22</v>
      </c>
      <c r="G22" s="2">
        <v>92</v>
      </c>
      <c r="H22" s="2">
        <v>9.2000000000000011</v>
      </c>
      <c r="I22" s="3" t="s">
        <v>34</v>
      </c>
    </row>
    <row r="23" spans="1:9">
      <c r="A23" s="1" t="s">
        <v>40</v>
      </c>
      <c r="B23" s="1" t="s">
        <v>28</v>
      </c>
      <c r="C23" s="1" t="s">
        <v>41</v>
      </c>
      <c r="D23" s="1" t="s">
        <v>13</v>
      </c>
      <c r="E23" s="1" t="s">
        <v>14</v>
      </c>
      <c r="F23" s="1" t="s">
        <v>30</v>
      </c>
      <c r="G23" s="2">
        <v>100</v>
      </c>
      <c r="H23" s="2">
        <v>35</v>
      </c>
      <c r="I23" s="3" t="s">
        <v>35</v>
      </c>
    </row>
    <row r="24" spans="1:9">
      <c r="A24" s="1" t="s">
        <v>40</v>
      </c>
      <c r="B24" s="1" t="s">
        <v>28</v>
      </c>
      <c r="C24" s="1" t="s">
        <v>41</v>
      </c>
      <c r="D24" s="1" t="s">
        <v>17</v>
      </c>
      <c r="E24" s="1" t="s">
        <v>18</v>
      </c>
      <c r="F24" s="1" t="s">
        <v>19</v>
      </c>
      <c r="G24" s="2">
        <v>64</v>
      </c>
      <c r="H24" s="2">
        <v>19.2</v>
      </c>
      <c r="I24" s="3" t="s">
        <v>42</v>
      </c>
    </row>
    <row r="25" spans="1:9">
      <c r="A25" s="1" t="s">
        <v>40</v>
      </c>
      <c r="B25" s="1" t="s">
        <v>28</v>
      </c>
      <c r="C25" s="1" t="s">
        <v>41</v>
      </c>
      <c r="D25" s="1" t="s">
        <v>21</v>
      </c>
      <c r="E25" s="1" t="s">
        <v>18</v>
      </c>
      <c r="F25" s="1" t="s">
        <v>24</v>
      </c>
      <c r="G25" s="2">
        <v>88</v>
      </c>
      <c r="H25" s="2">
        <v>17.600000000000001</v>
      </c>
      <c r="I25" s="3" t="s">
        <v>23</v>
      </c>
    </row>
    <row r="26" spans="1:9">
      <c r="A26" s="1" t="s">
        <v>43</v>
      </c>
      <c r="B26" s="1" t="s">
        <v>11</v>
      </c>
      <c r="C26" s="1" t="s">
        <v>44</v>
      </c>
      <c r="D26" s="1" t="s">
        <v>13</v>
      </c>
      <c r="E26" s="1" t="s">
        <v>18</v>
      </c>
      <c r="F26" s="1" t="s">
        <v>22</v>
      </c>
      <c r="G26" s="2">
        <v>100</v>
      </c>
      <c r="H26" s="2">
        <v>10</v>
      </c>
      <c r="I26" s="3" t="s">
        <v>23</v>
      </c>
    </row>
    <row r="27" spans="1:9">
      <c r="A27" s="1" t="s">
        <v>43</v>
      </c>
      <c r="B27" s="1" t="s">
        <v>11</v>
      </c>
      <c r="C27" s="1" t="s">
        <v>44</v>
      </c>
      <c r="D27" s="1" t="s">
        <v>17</v>
      </c>
      <c r="E27" s="1" t="s">
        <v>14</v>
      </c>
      <c r="F27" s="1" t="s">
        <v>15</v>
      </c>
      <c r="G27" s="2">
        <v>80</v>
      </c>
      <c r="H27" s="2">
        <v>24</v>
      </c>
      <c r="I27" s="3" t="s">
        <v>20</v>
      </c>
    </row>
    <row r="28" spans="1:9">
      <c r="A28" s="1" t="s">
        <v>43</v>
      </c>
      <c r="B28" s="1" t="s">
        <v>11</v>
      </c>
      <c r="C28" s="1" t="s">
        <v>44</v>
      </c>
      <c r="D28" s="1" t="s">
        <v>21</v>
      </c>
      <c r="E28" s="1" t="s">
        <v>18</v>
      </c>
      <c r="F28" s="1" t="s">
        <v>24</v>
      </c>
      <c r="G28" s="2">
        <v>72</v>
      </c>
      <c r="H28" s="2">
        <v>14.4</v>
      </c>
      <c r="I28" s="3" t="s">
        <v>23</v>
      </c>
    </row>
    <row r="29" spans="1:9">
      <c r="A29" s="1" t="s">
        <v>43</v>
      </c>
      <c r="B29" s="1" t="s">
        <v>11</v>
      </c>
      <c r="C29" s="1" t="s">
        <v>44</v>
      </c>
      <c r="D29" s="1" t="s">
        <v>17</v>
      </c>
      <c r="E29" s="1" t="s">
        <v>18</v>
      </c>
      <c r="F29" s="1" t="s">
        <v>19</v>
      </c>
      <c r="G29" s="2">
        <v>92</v>
      </c>
      <c r="H29" s="2">
        <v>27.599999999999998</v>
      </c>
      <c r="I29" s="3" t="s">
        <v>20</v>
      </c>
    </row>
    <row r="30" spans="1:9">
      <c r="A30" s="1" t="s">
        <v>43</v>
      </c>
      <c r="B30" s="1" t="s">
        <v>11</v>
      </c>
      <c r="C30" s="1" t="s">
        <v>44</v>
      </c>
      <c r="D30" s="1" t="s">
        <v>21</v>
      </c>
      <c r="E30" s="1" t="s">
        <v>14</v>
      </c>
      <c r="F30" s="1" t="s">
        <v>30</v>
      </c>
      <c r="G30" s="2">
        <v>72</v>
      </c>
      <c r="H30" s="2">
        <v>21.599999999999998</v>
      </c>
      <c r="I30" s="3" t="s">
        <v>20</v>
      </c>
    </row>
    <row r="31" spans="1:9">
      <c r="A31" s="1" t="s">
        <v>43</v>
      </c>
      <c r="B31" s="1" t="s">
        <v>11</v>
      </c>
      <c r="C31" s="1" t="s">
        <v>44</v>
      </c>
      <c r="D31" s="1" t="s">
        <v>13</v>
      </c>
      <c r="E31" s="1" t="s">
        <v>18</v>
      </c>
      <c r="F31" s="1" t="s">
        <v>24</v>
      </c>
      <c r="G31" s="2">
        <v>100</v>
      </c>
      <c r="H31" s="2">
        <v>20</v>
      </c>
      <c r="I31" s="3" t="s">
        <v>23</v>
      </c>
    </row>
    <row r="33" spans="1:9">
      <c r="A33" s="5" t="s">
        <v>45</v>
      </c>
    </row>
    <row r="34" spans="1:9">
      <c r="A34" t="b">
        <f>AND(D3="국어",E3="수행",G3&gt;=AVERAGEIF($E$3:$E$31,"수행",$G$3:$G$31))</f>
        <v>0</v>
      </c>
    </row>
    <row r="36" spans="1:9">
      <c r="A36" s="1" t="s">
        <v>1</v>
      </c>
      <c r="B36" s="1" t="s">
        <v>2</v>
      </c>
      <c r="C36" s="1" t="s">
        <v>3</v>
      </c>
      <c r="D36" s="1" t="s">
        <v>4</v>
      </c>
      <c r="E36" s="1" t="s">
        <v>5</v>
      </c>
      <c r="F36" s="1" t="s">
        <v>6</v>
      </c>
      <c r="G36" s="1" t="s">
        <v>7</v>
      </c>
      <c r="H36" s="1" t="s">
        <v>8</v>
      </c>
      <c r="I36" s="1" t="s">
        <v>46</v>
      </c>
    </row>
    <row r="37" spans="1:9">
      <c r="A37" s="1" t="s">
        <v>10</v>
      </c>
      <c r="B37" s="1" t="s">
        <v>11</v>
      </c>
      <c r="C37" s="1" t="s">
        <v>12</v>
      </c>
      <c r="D37" s="1" t="s">
        <v>13</v>
      </c>
      <c r="E37" s="1" t="s">
        <v>18</v>
      </c>
      <c r="F37" s="1" t="s">
        <v>24</v>
      </c>
      <c r="G37" s="2">
        <v>92</v>
      </c>
      <c r="H37" s="2">
        <v>18.400000000000002</v>
      </c>
      <c r="I37" s="3" t="s">
        <v>25</v>
      </c>
    </row>
    <row r="38" spans="1:9">
      <c r="A38" s="1" t="s">
        <v>40</v>
      </c>
      <c r="B38" s="1" t="s">
        <v>28</v>
      </c>
      <c r="C38" s="1" t="s">
        <v>41</v>
      </c>
      <c r="D38" s="1" t="s">
        <v>13</v>
      </c>
      <c r="E38" s="1" t="s">
        <v>18</v>
      </c>
      <c r="F38" s="1" t="s">
        <v>22</v>
      </c>
      <c r="G38" s="2">
        <v>92</v>
      </c>
      <c r="H38" s="2">
        <v>9.2000000000000011</v>
      </c>
      <c r="I38" s="3" t="s">
        <v>34</v>
      </c>
    </row>
    <row r="39" spans="1:9">
      <c r="A39" s="1" t="s">
        <v>43</v>
      </c>
      <c r="B39" s="1" t="s">
        <v>11</v>
      </c>
      <c r="C39" s="1" t="s">
        <v>44</v>
      </c>
      <c r="D39" s="1" t="s">
        <v>13</v>
      </c>
      <c r="E39" s="1" t="s">
        <v>18</v>
      </c>
      <c r="F39" s="1" t="s">
        <v>22</v>
      </c>
      <c r="G39" s="2">
        <v>100</v>
      </c>
      <c r="H39" s="2">
        <v>10</v>
      </c>
      <c r="I39" s="3" t="s">
        <v>23</v>
      </c>
    </row>
    <row r="40" spans="1:9">
      <c r="A40" s="1" t="s">
        <v>43</v>
      </c>
      <c r="B40" s="1" t="s">
        <v>11</v>
      </c>
      <c r="C40" s="1" t="s">
        <v>44</v>
      </c>
      <c r="D40" s="1" t="s">
        <v>13</v>
      </c>
      <c r="E40" s="1" t="s">
        <v>18</v>
      </c>
      <c r="F40" s="1" t="s">
        <v>24</v>
      </c>
      <c r="G40" s="2">
        <v>100</v>
      </c>
      <c r="H40" s="2">
        <v>20</v>
      </c>
      <c r="I40" s="3" t="s">
        <v>23</v>
      </c>
    </row>
  </sheetData>
  <phoneticPr fontId="2" type="noConversion"/>
  <conditionalFormatting sqref="A3:I31">
    <cfRule type="expression" dxfId="0" priority="1">
      <formula>LEFT(TRIM($I3),3)*$G3&lt;&gt;$H3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50"/>
  <sheetViews>
    <sheetView workbookViewId="0"/>
  </sheetViews>
  <sheetFormatPr defaultRowHeight="16.5"/>
  <cols>
    <col min="1" max="1" width="1.875" style="6" customWidth="1"/>
    <col min="2" max="2" width="7.125" style="6" bestFit="1" customWidth="1"/>
    <col min="3" max="3" width="9.875" style="6" bestFit="1" customWidth="1"/>
    <col min="4" max="4" width="7.875" style="6" bestFit="1" customWidth="1"/>
    <col min="5" max="6" width="7.25" style="6" customWidth="1"/>
    <col min="7" max="7" width="11" style="6" bestFit="1" customWidth="1"/>
    <col min="8" max="10" width="9" style="6" bestFit="1" customWidth="1"/>
    <col min="11" max="11" width="4.375" style="6" customWidth="1"/>
    <col min="12" max="12" width="10" style="6" customWidth="1"/>
    <col min="13" max="15" width="8" style="6" customWidth="1"/>
    <col min="16" max="16" width="14.375" style="6" bestFit="1" customWidth="1"/>
    <col min="17" max="16384" width="9" style="6"/>
  </cols>
  <sheetData>
    <row r="1" spans="2:16">
      <c r="B1" s="6" t="s">
        <v>47</v>
      </c>
      <c r="L1" s="6" t="s">
        <v>48</v>
      </c>
    </row>
    <row r="2" spans="2:16">
      <c r="B2" s="7" t="s">
        <v>49</v>
      </c>
      <c r="C2" s="7" t="s">
        <v>50</v>
      </c>
      <c r="D2" s="8" t="s">
        <v>51</v>
      </c>
      <c r="E2" s="7" t="s">
        <v>52</v>
      </c>
      <c r="F2" s="7" t="s">
        <v>53</v>
      </c>
      <c r="G2" s="7" t="s">
        <v>54</v>
      </c>
      <c r="H2" s="7" t="s">
        <v>55</v>
      </c>
      <c r="I2" s="8" t="s">
        <v>56</v>
      </c>
      <c r="J2" s="8" t="s">
        <v>57</v>
      </c>
      <c r="L2" s="7" t="s">
        <v>54</v>
      </c>
      <c r="M2" s="7" t="s">
        <v>58</v>
      </c>
      <c r="N2" s="7" t="s">
        <v>59</v>
      </c>
      <c r="O2" s="7" t="s">
        <v>60</v>
      </c>
    </row>
    <row r="3" spans="2:16">
      <c r="B3" s="7" t="s">
        <v>61</v>
      </c>
      <c r="C3" s="7" t="s">
        <v>62</v>
      </c>
      <c r="D3" s="9" t="str">
        <f>CONCATENATE(VALUE(MID(C3,3,3)),"-",VALUE(MID(C3,6,3)))</f>
        <v>9-21</v>
      </c>
      <c r="E3" s="7" t="s">
        <v>58</v>
      </c>
      <c r="F3" s="7" t="s">
        <v>63</v>
      </c>
      <c r="G3" s="7" t="s">
        <v>64</v>
      </c>
      <c r="H3" s="10">
        <v>100</v>
      </c>
      <c r="I3" s="10">
        <f>H3*VLOOKUP(G3,$L$3:$O$7,MATCH(E3,$M$2:$O$2,0)+1,FALSE)</f>
        <v>35</v>
      </c>
      <c r="J3" s="11" t="str">
        <f>fn기타(I3)</f>
        <v>■■■</v>
      </c>
      <c r="L3" s="7" t="s">
        <v>64</v>
      </c>
      <c r="M3" s="12">
        <f>70%/2</f>
        <v>0.35</v>
      </c>
      <c r="N3" s="12">
        <v>0.3</v>
      </c>
      <c r="O3" s="12">
        <v>0.3</v>
      </c>
    </row>
    <row r="4" spans="2:16">
      <c r="B4" s="7" t="s">
        <v>61</v>
      </c>
      <c r="C4" s="7" t="s">
        <v>62</v>
      </c>
      <c r="D4" s="9" t="str">
        <f t="shared" ref="D4:D31" si="0">CONCATENATE(VALUE(MID(C4,3,3)),"-",VALUE(MID(C4,6,3)))</f>
        <v>9-21</v>
      </c>
      <c r="E4" s="7" t="s">
        <v>59</v>
      </c>
      <c r="F4" s="7" t="s">
        <v>65</v>
      </c>
      <c r="G4" s="7" t="s">
        <v>66</v>
      </c>
      <c r="H4" s="10">
        <v>64</v>
      </c>
      <c r="I4" s="10">
        <f t="shared" ref="I4:I31" si="1">H4*VLOOKUP(G4,$L$3:$O$7,MATCH(E4,$M$2:$O$2,0)+1,FALSE)</f>
        <v>19.2</v>
      </c>
      <c r="J4" s="11" t="str">
        <f t="shared" ref="J4:J11" si="2">fn기타(I4)</f>
        <v>■</v>
      </c>
      <c r="L4" s="7" t="s">
        <v>67</v>
      </c>
      <c r="M4" s="12">
        <f>70%/2</f>
        <v>0.35</v>
      </c>
      <c r="N4" s="12">
        <v>0.3</v>
      </c>
      <c r="O4" s="12">
        <v>0.3</v>
      </c>
    </row>
    <row r="5" spans="2:16">
      <c r="B5" s="7" t="s">
        <v>61</v>
      </c>
      <c r="C5" s="7" t="s">
        <v>62</v>
      </c>
      <c r="D5" s="9" t="str">
        <f t="shared" si="0"/>
        <v>9-21</v>
      </c>
      <c r="E5" s="13" t="s">
        <v>60</v>
      </c>
      <c r="F5" s="7" t="s">
        <v>65</v>
      </c>
      <c r="G5" s="7" t="s">
        <v>68</v>
      </c>
      <c r="H5" s="10">
        <v>76</v>
      </c>
      <c r="I5" s="10">
        <f t="shared" si="1"/>
        <v>15.200000000000001</v>
      </c>
      <c r="J5" s="11" t="str">
        <f t="shared" si="2"/>
        <v>■</v>
      </c>
      <c r="L5" s="7" t="s">
        <v>66</v>
      </c>
      <c r="M5" s="12"/>
      <c r="N5" s="12">
        <v>0.3</v>
      </c>
      <c r="O5" s="12"/>
    </row>
    <row r="6" spans="2:16">
      <c r="B6" s="7" t="s">
        <v>61</v>
      </c>
      <c r="C6" s="7" t="s">
        <v>62</v>
      </c>
      <c r="D6" s="9" t="str">
        <f t="shared" si="0"/>
        <v>9-21</v>
      </c>
      <c r="E6" s="13" t="s">
        <v>58</v>
      </c>
      <c r="F6" s="7" t="s">
        <v>65</v>
      </c>
      <c r="G6" s="7" t="s">
        <v>69</v>
      </c>
      <c r="H6" s="10">
        <v>92</v>
      </c>
      <c r="I6" s="10">
        <f t="shared" si="1"/>
        <v>18.400000000000002</v>
      </c>
      <c r="J6" s="11" t="str">
        <f t="shared" si="2"/>
        <v>■</v>
      </c>
      <c r="L6" s="7" t="s">
        <v>68</v>
      </c>
      <c r="M6" s="12">
        <v>0.1</v>
      </c>
      <c r="N6" s="12">
        <v>0.1</v>
      </c>
      <c r="O6" s="12">
        <v>0.2</v>
      </c>
    </row>
    <row r="7" spans="2:16">
      <c r="B7" s="7" t="s">
        <v>61</v>
      </c>
      <c r="C7" s="7" t="s">
        <v>62</v>
      </c>
      <c r="D7" s="9" t="str">
        <f t="shared" si="0"/>
        <v>9-21</v>
      </c>
      <c r="E7" s="7" t="s">
        <v>60</v>
      </c>
      <c r="F7" s="7" t="s">
        <v>63</v>
      </c>
      <c r="G7" s="7" t="s">
        <v>64</v>
      </c>
      <c r="H7" s="10">
        <v>96</v>
      </c>
      <c r="I7" s="10">
        <f t="shared" si="1"/>
        <v>28.799999999999997</v>
      </c>
      <c r="J7" s="11" t="str">
        <f t="shared" si="2"/>
        <v>■■</v>
      </c>
      <c r="L7" s="7" t="s">
        <v>69</v>
      </c>
      <c r="M7" s="12">
        <v>0.2</v>
      </c>
      <c r="N7" s="12"/>
      <c r="O7" s="12">
        <v>0.2</v>
      </c>
    </row>
    <row r="8" spans="2:16">
      <c r="B8" s="7" t="s">
        <v>70</v>
      </c>
      <c r="C8" s="7" t="s">
        <v>71</v>
      </c>
      <c r="D8" s="9" t="str">
        <f t="shared" si="0"/>
        <v>12-19</v>
      </c>
      <c r="E8" s="13" t="s">
        <v>59</v>
      </c>
      <c r="F8" s="7" t="s">
        <v>63</v>
      </c>
      <c r="G8" s="7" t="s">
        <v>67</v>
      </c>
      <c r="H8" s="10">
        <v>84</v>
      </c>
      <c r="I8" s="10">
        <f t="shared" si="1"/>
        <v>25.2</v>
      </c>
      <c r="J8" s="11" t="str">
        <f t="shared" si="2"/>
        <v>■■</v>
      </c>
      <c r="M8" s="14"/>
      <c r="N8" s="14"/>
      <c r="O8" s="14"/>
    </row>
    <row r="9" spans="2:16">
      <c r="B9" s="7" t="s">
        <v>70</v>
      </c>
      <c r="C9" s="7" t="s">
        <v>71</v>
      </c>
      <c r="D9" s="9" t="str">
        <f t="shared" si="0"/>
        <v>12-19</v>
      </c>
      <c r="E9" s="7" t="s">
        <v>59</v>
      </c>
      <c r="F9" s="7" t="s">
        <v>65</v>
      </c>
      <c r="G9" s="7" t="s">
        <v>66</v>
      </c>
      <c r="H9" s="10">
        <v>100</v>
      </c>
      <c r="I9" s="10">
        <f t="shared" si="1"/>
        <v>30</v>
      </c>
      <c r="J9" s="11" t="str">
        <f t="shared" si="2"/>
        <v>■■■</v>
      </c>
      <c r="L9" s="5" t="s">
        <v>72</v>
      </c>
    </row>
    <row r="10" spans="2:16">
      <c r="B10" s="7" t="s">
        <v>70</v>
      </c>
      <c r="C10" s="7" t="s">
        <v>71</v>
      </c>
      <c r="D10" s="9" t="str">
        <f t="shared" si="0"/>
        <v>12-19</v>
      </c>
      <c r="E10" s="13" t="s">
        <v>60</v>
      </c>
      <c r="F10" s="7" t="s">
        <v>65</v>
      </c>
      <c r="G10" s="7" t="s">
        <v>68</v>
      </c>
      <c r="H10" s="10">
        <v>96</v>
      </c>
      <c r="I10" s="10">
        <f t="shared" si="1"/>
        <v>19.200000000000003</v>
      </c>
      <c r="J10" s="11" t="str">
        <f t="shared" si="2"/>
        <v>■</v>
      </c>
      <c r="L10" s="7" t="s">
        <v>53</v>
      </c>
      <c r="M10" s="8" t="s">
        <v>58</v>
      </c>
      <c r="N10" s="8" t="s">
        <v>59</v>
      </c>
      <c r="O10" s="8" t="s">
        <v>60</v>
      </c>
      <c r="P10" s="8" t="s">
        <v>73</v>
      </c>
    </row>
    <row r="11" spans="2:16">
      <c r="B11" s="7" t="s">
        <v>70</v>
      </c>
      <c r="C11" s="7" t="s">
        <v>71</v>
      </c>
      <c r="D11" s="9" t="str">
        <f t="shared" si="0"/>
        <v>12-19</v>
      </c>
      <c r="E11" s="7" t="s">
        <v>60</v>
      </c>
      <c r="F11" s="7" t="s">
        <v>65</v>
      </c>
      <c r="G11" s="7" t="s">
        <v>69</v>
      </c>
      <c r="H11" s="10">
        <v>80</v>
      </c>
      <c r="I11" s="10">
        <f t="shared" si="1"/>
        <v>16</v>
      </c>
      <c r="J11" s="11" t="str">
        <f t="shared" si="2"/>
        <v>■</v>
      </c>
      <c r="L11" s="7" t="s">
        <v>63</v>
      </c>
      <c r="M11" s="11">
        <f t="array" ref="M11">SUM(IF(($E$3:$E$31=M$10)*($F$3:$F$31=$L11),$H$3:$H$31))</f>
        <v>376</v>
      </c>
      <c r="N11" s="11">
        <f t="array" ref="N11">SUM(IF(($E$3:$E$31=N$10)*($F$3:$F$31=$L11),$H$3:$H$31))</f>
        <v>236</v>
      </c>
      <c r="O11" s="11">
        <f t="array" ref="O11">SUM(IF(($E$3:$E$31=O$10)*($F$3:$F$31=$L11),$H$3:$H$31))</f>
        <v>432</v>
      </c>
      <c r="P11" s="7" t="str">
        <f t="array" ref="P11">TEXT(AVERAGE(IF($F$3:$F$31=L11,$H$3:$H$31)),"0.0") &amp; TEXT(_xlfn.STDEV.S(IF($F$3:$F$31=L11,$H$3:$H$31)),"(0.0)")</f>
        <v>87.0(9.4)</v>
      </c>
    </row>
    <row r="12" spans="2:16">
      <c r="B12" s="7" t="s">
        <v>70</v>
      </c>
      <c r="C12" s="7" t="s">
        <v>71</v>
      </c>
      <c r="D12" s="9" t="str">
        <f t="shared" si="0"/>
        <v>12-19</v>
      </c>
      <c r="E12" s="13" t="s">
        <v>58</v>
      </c>
      <c r="F12" s="7" t="s">
        <v>63</v>
      </c>
      <c r="G12" s="7" t="s">
        <v>64</v>
      </c>
      <c r="H12" s="10">
        <v>88</v>
      </c>
      <c r="I12" s="10">
        <f t="shared" si="1"/>
        <v>30.799999999999997</v>
      </c>
      <c r="J12" s="11" t="str">
        <f t="shared" ref="J12" si="3">fn기타(I12)</f>
        <v>■■■</v>
      </c>
      <c r="L12" s="7" t="s">
        <v>65</v>
      </c>
      <c r="M12" s="11">
        <f t="array" ref="M12">SUM(IF(($E$3:$E$31=M$10)*($F$3:$F$31=$L12),$H$3:$H$31))</f>
        <v>448</v>
      </c>
      <c r="N12" s="11">
        <f t="array" ref="N12">SUM(IF(($E$3:$E$31=N$10)*($F$3:$F$31=$L12),$H$3:$H$31))</f>
        <v>480</v>
      </c>
      <c r="O12" s="11">
        <f t="array" ref="O12">SUM(IF(($E$3:$E$31=O$10)*($F$3:$F$31=$L12),$H$3:$H$31))</f>
        <v>480</v>
      </c>
      <c r="P12" s="7" t="str">
        <f t="array" ref="P12">TEXT(AVERAGE(IF($F$3:$F$31=L12,$H$3:$H$31)),"0.0") &amp; TEXT(_xlfn.STDEV.S(IF($F$3:$F$31=L12,$H$3:$H$31)),"(0.0)")</f>
        <v>82.8(13.5)</v>
      </c>
    </row>
    <row r="13" spans="2:16">
      <c r="B13" s="7" t="s">
        <v>70</v>
      </c>
      <c r="C13" s="7" t="s">
        <v>71</v>
      </c>
      <c r="D13" s="9" t="str">
        <f t="shared" si="0"/>
        <v>12-19</v>
      </c>
      <c r="E13" s="7" t="s">
        <v>60</v>
      </c>
      <c r="F13" s="7" t="s">
        <v>63</v>
      </c>
      <c r="G13" s="7" t="s">
        <v>64</v>
      </c>
      <c r="H13" s="10">
        <v>92</v>
      </c>
      <c r="I13" s="10">
        <f t="shared" si="1"/>
        <v>27.599999999999998</v>
      </c>
      <c r="J13" s="11" t="str">
        <f t="shared" ref="J13:J31" si="4">fn기타(I13)</f>
        <v>■■</v>
      </c>
    </row>
    <row r="14" spans="2:16">
      <c r="B14" s="7" t="s">
        <v>74</v>
      </c>
      <c r="C14" s="7" t="s">
        <v>75</v>
      </c>
      <c r="D14" s="9" t="str">
        <f t="shared" si="0"/>
        <v>10-3</v>
      </c>
      <c r="E14" s="7" t="s">
        <v>58</v>
      </c>
      <c r="F14" s="7" t="s">
        <v>63</v>
      </c>
      <c r="G14" s="7" t="s">
        <v>67</v>
      </c>
      <c r="H14" s="10">
        <v>88</v>
      </c>
      <c r="I14" s="10">
        <f t="shared" si="1"/>
        <v>30.799999999999997</v>
      </c>
      <c r="J14" s="11" t="str">
        <f t="shared" si="4"/>
        <v>■■■</v>
      </c>
    </row>
    <row r="15" spans="2:16">
      <c r="B15" s="7" t="s">
        <v>74</v>
      </c>
      <c r="C15" s="7" t="s">
        <v>75</v>
      </c>
      <c r="D15" s="9" t="str">
        <f t="shared" si="0"/>
        <v>10-3</v>
      </c>
      <c r="E15" s="13" t="s">
        <v>59</v>
      </c>
      <c r="F15" s="7" t="s">
        <v>65</v>
      </c>
      <c r="G15" s="7" t="s">
        <v>68</v>
      </c>
      <c r="H15" s="10">
        <v>72</v>
      </c>
      <c r="I15" s="10">
        <f t="shared" si="1"/>
        <v>7.2</v>
      </c>
      <c r="J15" s="11" t="str">
        <f t="shared" si="4"/>
        <v>노력요함</v>
      </c>
    </row>
    <row r="16" spans="2:16">
      <c r="B16" s="7" t="s">
        <v>74</v>
      </c>
      <c r="C16" s="7" t="s">
        <v>75</v>
      </c>
      <c r="D16" s="9" t="str">
        <f t="shared" si="0"/>
        <v>10-3</v>
      </c>
      <c r="E16" s="13" t="s">
        <v>60</v>
      </c>
      <c r="F16" s="7" t="s">
        <v>65</v>
      </c>
      <c r="G16" s="7" t="s">
        <v>69</v>
      </c>
      <c r="H16" s="10">
        <v>68</v>
      </c>
      <c r="I16" s="10">
        <f t="shared" si="1"/>
        <v>13.600000000000001</v>
      </c>
      <c r="J16" s="11" t="str">
        <f t="shared" si="4"/>
        <v>■</v>
      </c>
    </row>
    <row r="17" spans="2:10">
      <c r="B17" s="7" t="s">
        <v>74</v>
      </c>
      <c r="C17" s="7" t="s">
        <v>75</v>
      </c>
      <c r="D17" s="9" t="str">
        <f t="shared" si="0"/>
        <v>10-3</v>
      </c>
      <c r="E17" s="13" t="s">
        <v>59</v>
      </c>
      <c r="F17" s="7" t="s">
        <v>65</v>
      </c>
      <c r="G17" s="7" t="s">
        <v>66</v>
      </c>
      <c r="H17" s="10">
        <v>88</v>
      </c>
      <c r="I17" s="10">
        <f t="shared" si="1"/>
        <v>26.4</v>
      </c>
      <c r="J17" s="11" t="str">
        <f t="shared" si="4"/>
        <v>■■</v>
      </c>
    </row>
    <row r="18" spans="2:10">
      <c r="B18" s="7" t="s">
        <v>74</v>
      </c>
      <c r="C18" s="7" t="s">
        <v>75</v>
      </c>
      <c r="D18" s="9" t="str">
        <f t="shared" si="0"/>
        <v>10-3</v>
      </c>
      <c r="E18" s="13" t="s">
        <v>58</v>
      </c>
      <c r="F18" s="7" t="s">
        <v>65</v>
      </c>
      <c r="G18" s="7" t="s">
        <v>68</v>
      </c>
      <c r="H18" s="10">
        <v>64</v>
      </c>
      <c r="I18" s="10">
        <f t="shared" si="1"/>
        <v>6.4</v>
      </c>
      <c r="J18" s="11" t="str">
        <f t="shared" si="4"/>
        <v>노력요함</v>
      </c>
    </row>
    <row r="19" spans="2:10">
      <c r="B19" s="7" t="s">
        <v>74</v>
      </c>
      <c r="C19" s="7" t="s">
        <v>75</v>
      </c>
      <c r="D19" s="9" t="str">
        <f t="shared" si="0"/>
        <v>10-3</v>
      </c>
      <c r="E19" s="13" t="s">
        <v>60</v>
      </c>
      <c r="F19" s="7" t="s">
        <v>63</v>
      </c>
      <c r="G19" s="7" t="s">
        <v>64</v>
      </c>
      <c r="H19" s="10">
        <v>84</v>
      </c>
      <c r="I19" s="10">
        <f t="shared" si="1"/>
        <v>25.2</v>
      </c>
      <c r="J19" s="11" t="str">
        <f t="shared" si="4"/>
        <v>■■</v>
      </c>
    </row>
    <row r="20" spans="2:10">
      <c r="B20" s="7" t="s">
        <v>76</v>
      </c>
      <c r="C20" s="7" t="s">
        <v>77</v>
      </c>
      <c r="D20" s="9" t="str">
        <f t="shared" si="0"/>
        <v>7-29</v>
      </c>
      <c r="E20" s="13" t="s">
        <v>60</v>
      </c>
      <c r="F20" s="7" t="s">
        <v>63</v>
      </c>
      <c r="G20" s="7" t="s">
        <v>67</v>
      </c>
      <c r="H20" s="10">
        <v>88</v>
      </c>
      <c r="I20" s="10">
        <f t="shared" si="1"/>
        <v>26.4</v>
      </c>
      <c r="J20" s="11" t="str">
        <f t="shared" si="4"/>
        <v>■■</v>
      </c>
    </row>
    <row r="21" spans="2:10">
      <c r="B21" s="7" t="s">
        <v>76</v>
      </c>
      <c r="C21" s="7" t="s">
        <v>77</v>
      </c>
      <c r="D21" s="9" t="str">
        <f t="shared" si="0"/>
        <v>7-29</v>
      </c>
      <c r="E21" s="7" t="s">
        <v>59</v>
      </c>
      <c r="F21" s="7" t="s">
        <v>63</v>
      </c>
      <c r="G21" s="7" t="s">
        <v>64</v>
      </c>
      <c r="H21" s="10">
        <v>72</v>
      </c>
      <c r="I21" s="10">
        <f t="shared" si="1"/>
        <v>21.599999999999998</v>
      </c>
      <c r="J21" s="11" t="str">
        <f t="shared" si="4"/>
        <v>■■</v>
      </c>
    </row>
    <row r="22" spans="2:10">
      <c r="B22" s="7" t="s">
        <v>76</v>
      </c>
      <c r="C22" s="7" t="s">
        <v>77</v>
      </c>
      <c r="D22" s="9" t="str">
        <f t="shared" si="0"/>
        <v>7-29</v>
      </c>
      <c r="E22" s="13" t="s">
        <v>58</v>
      </c>
      <c r="F22" s="7" t="s">
        <v>65</v>
      </c>
      <c r="G22" s="7" t="s">
        <v>68</v>
      </c>
      <c r="H22" s="10">
        <v>92</v>
      </c>
      <c r="I22" s="10">
        <f t="shared" si="1"/>
        <v>9.2000000000000011</v>
      </c>
      <c r="J22" s="11" t="str">
        <f t="shared" si="4"/>
        <v>노력요함</v>
      </c>
    </row>
    <row r="23" spans="2:10">
      <c r="B23" s="7" t="s">
        <v>76</v>
      </c>
      <c r="C23" s="7" t="s">
        <v>77</v>
      </c>
      <c r="D23" s="9" t="str">
        <f t="shared" si="0"/>
        <v>7-29</v>
      </c>
      <c r="E23" s="13" t="s">
        <v>58</v>
      </c>
      <c r="F23" s="7" t="s">
        <v>63</v>
      </c>
      <c r="G23" s="7" t="s">
        <v>67</v>
      </c>
      <c r="H23" s="10">
        <v>100</v>
      </c>
      <c r="I23" s="10">
        <f t="shared" si="1"/>
        <v>35</v>
      </c>
      <c r="J23" s="11" t="str">
        <f t="shared" si="4"/>
        <v>■■■</v>
      </c>
    </row>
    <row r="24" spans="2:10">
      <c r="B24" s="7" t="s">
        <v>76</v>
      </c>
      <c r="C24" s="7" t="s">
        <v>77</v>
      </c>
      <c r="D24" s="9" t="str">
        <f t="shared" si="0"/>
        <v>7-29</v>
      </c>
      <c r="E24" s="13" t="s">
        <v>59</v>
      </c>
      <c r="F24" s="7" t="s">
        <v>65</v>
      </c>
      <c r="G24" s="7" t="s">
        <v>66</v>
      </c>
      <c r="H24" s="10">
        <v>64</v>
      </c>
      <c r="I24" s="10">
        <f t="shared" si="1"/>
        <v>19.2</v>
      </c>
      <c r="J24" s="11" t="str">
        <f t="shared" si="4"/>
        <v>■</v>
      </c>
    </row>
    <row r="25" spans="2:10">
      <c r="B25" s="7" t="s">
        <v>76</v>
      </c>
      <c r="C25" s="7" t="s">
        <v>77</v>
      </c>
      <c r="D25" s="9" t="str">
        <f t="shared" si="0"/>
        <v>7-29</v>
      </c>
      <c r="E25" s="7" t="s">
        <v>60</v>
      </c>
      <c r="F25" s="7" t="s">
        <v>65</v>
      </c>
      <c r="G25" s="7" t="s">
        <v>69</v>
      </c>
      <c r="H25" s="10">
        <v>88</v>
      </c>
      <c r="I25" s="10">
        <f t="shared" si="1"/>
        <v>17.600000000000001</v>
      </c>
      <c r="J25" s="11" t="str">
        <f t="shared" si="4"/>
        <v>■</v>
      </c>
    </row>
    <row r="26" spans="2:10">
      <c r="B26" s="7" t="s">
        <v>78</v>
      </c>
      <c r="C26" s="7" t="s">
        <v>79</v>
      </c>
      <c r="D26" s="9" t="str">
        <f t="shared" si="0"/>
        <v>13-31</v>
      </c>
      <c r="E26" s="7" t="s">
        <v>58</v>
      </c>
      <c r="F26" s="7" t="s">
        <v>65</v>
      </c>
      <c r="G26" s="7" t="s">
        <v>68</v>
      </c>
      <c r="H26" s="10">
        <v>100</v>
      </c>
      <c r="I26" s="10">
        <f t="shared" si="1"/>
        <v>10</v>
      </c>
      <c r="J26" s="11" t="str">
        <f t="shared" si="4"/>
        <v>■</v>
      </c>
    </row>
    <row r="27" spans="2:10">
      <c r="B27" s="7" t="s">
        <v>78</v>
      </c>
      <c r="C27" s="7" t="s">
        <v>79</v>
      </c>
      <c r="D27" s="9" t="str">
        <f t="shared" si="0"/>
        <v>13-31</v>
      </c>
      <c r="E27" s="7" t="s">
        <v>59</v>
      </c>
      <c r="F27" s="7" t="s">
        <v>63</v>
      </c>
      <c r="G27" s="7" t="s">
        <v>64</v>
      </c>
      <c r="H27" s="10">
        <v>80</v>
      </c>
      <c r="I27" s="10">
        <f t="shared" si="1"/>
        <v>24</v>
      </c>
      <c r="J27" s="11" t="str">
        <f t="shared" si="4"/>
        <v>■■</v>
      </c>
    </row>
    <row r="28" spans="2:10">
      <c r="B28" s="7" t="s">
        <v>78</v>
      </c>
      <c r="C28" s="7" t="s">
        <v>79</v>
      </c>
      <c r="D28" s="9" t="str">
        <f t="shared" si="0"/>
        <v>13-31</v>
      </c>
      <c r="E28" s="7" t="s">
        <v>60</v>
      </c>
      <c r="F28" s="7" t="s">
        <v>65</v>
      </c>
      <c r="G28" s="7" t="s">
        <v>69</v>
      </c>
      <c r="H28" s="10">
        <v>72</v>
      </c>
      <c r="I28" s="10">
        <f t="shared" si="1"/>
        <v>14.4</v>
      </c>
      <c r="J28" s="11" t="str">
        <f t="shared" si="4"/>
        <v>■</v>
      </c>
    </row>
    <row r="29" spans="2:10">
      <c r="B29" s="7" t="s">
        <v>78</v>
      </c>
      <c r="C29" s="7" t="s">
        <v>79</v>
      </c>
      <c r="D29" s="9" t="str">
        <f t="shared" si="0"/>
        <v>13-31</v>
      </c>
      <c r="E29" s="7" t="s">
        <v>59</v>
      </c>
      <c r="F29" s="7" t="s">
        <v>65</v>
      </c>
      <c r="G29" s="7" t="s">
        <v>66</v>
      </c>
      <c r="H29" s="10">
        <v>92</v>
      </c>
      <c r="I29" s="10">
        <f t="shared" si="1"/>
        <v>27.599999999999998</v>
      </c>
      <c r="J29" s="11" t="str">
        <f t="shared" si="4"/>
        <v>■■</v>
      </c>
    </row>
    <row r="30" spans="2:10">
      <c r="B30" s="7" t="s">
        <v>78</v>
      </c>
      <c r="C30" s="7" t="s">
        <v>79</v>
      </c>
      <c r="D30" s="9" t="str">
        <f t="shared" si="0"/>
        <v>13-31</v>
      </c>
      <c r="E30" s="7" t="s">
        <v>60</v>
      </c>
      <c r="F30" s="7" t="s">
        <v>63</v>
      </c>
      <c r="G30" s="7" t="s">
        <v>67</v>
      </c>
      <c r="H30" s="10">
        <v>72</v>
      </c>
      <c r="I30" s="10">
        <f t="shared" si="1"/>
        <v>21.599999999999998</v>
      </c>
      <c r="J30" s="11" t="str">
        <f t="shared" si="4"/>
        <v>■■</v>
      </c>
    </row>
    <row r="31" spans="2:10">
      <c r="B31" s="7" t="s">
        <v>78</v>
      </c>
      <c r="C31" s="7" t="s">
        <v>79</v>
      </c>
      <c r="D31" s="9" t="str">
        <f t="shared" si="0"/>
        <v>13-31</v>
      </c>
      <c r="E31" s="7" t="s">
        <v>58</v>
      </c>
      <c r="F31" s="7" t="s">
        <v>65</v>
      </c>
      <c r="G31" s="7" t="s">
        <v>69</v>
      </c>
      <c r="H31" s="10">
        <v>100</v>
      </c>
      <c r="I31" s="10">
        <f t="shared" si="1"/>
        <v>20</v>
      </c>
      <c r="J31" s="11" t="str">
        <f t="shared" si="4"/>
        <v>■■</v>
      </c>
    </row>
    <row r="32" spans="2:10">
      <c r="C32" s="15"/>
    </row>
    <row r="33" spans="3:5">
      <c r="C33" s="15"/>
    </row>
    <row r="34" spans="3:5">
      <c r="C34" s="15"/>
    </row>
    <row r="35" spans="3:5">
      <c r="C35" s="15"/>
    </row>
    <row r="36" spans="3:5">
      <c r="C36" s="15"/>
      <c r="E36" s="5"/>
    </row>
    <row r="37" spans="3:5">
      <c r="E37" s="5"/>
    </row>
    <row r="38" spans="3:5">
      <c r="E38" s="5"/>
    </row>
    <row r="39" spans="3:5">
      <c r="E39" s="16"/>
    </row>
    <row r="40" spans="3:5">
      <c r="E40" s="16"/>
    </row>
    <row r="41" spans="3:5">
      <c r="E41" s="16"/>
    </row>
    <row r="42" spans="3:5">
      <c r="E42" s="16"/>
    </row>
    <row r="43" spans="3:5">
      <c r="E43" s="16"/>
    </row>
    <row r="44" spans="3:5">
      <c r="E44" s="16"/>
    </row>
    <row r="45" spans="3:5">
      <c r="E45" s="5"/>
    </row>
    <row r="46" spans="3:5">
      <c r="E46" s="5"/>
    </row>
    <row r="47" spans="3:5">
      <c r="E47" s="5"/>
    </row>
    <row r="48" spans="3:5">
      <c r="E48" s="16"/>
    </row>
    <row r="49" spans="5:5">
      <c r="E49" s="16"/>
    </row>
    <row r="50" spans="5:5">
      <c r="E50" s="16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0"/>
  <sheetViews>
    <sheetView workbookViewId="0"/>
  </sheetViews>
  <sheetFormatPr defaultRowHeight="16.5"/>
  <cols>
    <col min="1" max="1" width="9" customWidth="1"/>
    <col min="4" max="4" width="13.25" customWidth="1"/>
    <col min="5" max="7" width="9.875" customWidth="1"/>
    <col min="9" max="9" width="15.5" bestFit="1" customWidth="1"/>
    <col min="10" max="11" width="11" bestFit="1" customWidth="1"/>
    <col min="12" max="13" width="9.5" customWidth="1"/>
  </cols>
  <sheetData>
    <row r="1" spans="1:13">
      <c r="A1" s="28" t="s">
        <v>1</v>
      </c>
      <c r="B1" s="28" t="s">
        <v>4</v>
      </c>
      <c r="C1" s="28" t="s">
        <v>5</v>
      </c>
      <c r="D1" s="28" t="s">
        <v>6</v>
      </c>
      <c r="E1" s="28" t="s">
        <v>110</v>
      </c>
      <c r="F1" s="28" t="s">
        <v>8</v>
      </c>
      <c r="G1" s="28" t="s">
        <v>113</v>
      </c>
      <c r="I1" s="31" t="s">
        <v>1</v>
      </c>
      <c r="J1" t="s">
        <v>114</v>
      </c>
    </row>
    <row r="2" spans="1:13">
      <c r="A2" s="29" t="s">
        <v>10</v>
      </c>
      <c r="B2" s="29" t="s">
        <v>13</v>
      </c>
      <c r="C2" s="29" t="s">
        <v>14</v>
      </c>
      <c r="D2" s="29" t="s">
        <v>15</v>
      </c>
      <c r="E2" s="30">
        <v>100</v>
      </c>
      <c r="F2" s="30">
        <v>35</v>
      </c>
      <c r="G2" s="30">
        <v>0.35</v>
      </c>
    </row>
    <row r="3" spans="1:13">
      <c r="A3" s="29" t="s">
        <v>10</v>
      </c>
      <c r="B3" s="29" t="s">
        <v>17</v>
      </c>
      <c r="C3" s="29" t="s">
        <v>18</v>
      </c>
      <c r="D3" s="29" t="s">
        <v>19</v>
      </c>
      <c r="E3" s="30">
        <v>64</v>
      </c>
      <c r="F3" s="30">
        <v>19.2</v>
      </c>
      <c r="G3" s="30">
        <v>0.3</v>
      </c>
      <c r="L3" s="31" t="s">
        <v>5</v>
      </c>
    </row>
    <row r="4" spans="1:13">
      <c r="A4" s="29" t="s">
        <v>10</v>
      </c>
      <c r="B4" s="29" t="s">
        <v>21</v>
      </c>
      <c r="C4" s="29" t="s">
        <v>18</v>
      </c>
      <c r="D4" s="29" t="s">
        <v>22</v>
      </c>
      <c r="E4" s="30">
        <v>76</v>
      </c>
      <c r="F4" s="30">
        <v>15.200000000000001</v>
      </c>
      <c r="G4" s="30">
        <v>0.2</v>
      </c>
      <c r="I4" s="31" t="s">
        <v>119</v>
      </c>
      <c r="J4" s="31" t="s">
        <v>4</v>
      </c>
      <c r="K4" s="31" t="s">
        <v>6</v>
      </c>
      <c r="L4" t="s">
        <v>18</v>
      </c>
      <c r="M4" t="s">
        <v>14</v>
      </c>
    </row>
    <row r="5" spans="1:13">
      <c r="A5" s="29" t="s">
        <v>10</v>
      </c>
      <c r="B5" s="29" t="s">
        <v>13</v>
      </c>
      <c r="C5" s="29" t="s">
        <v>18</v>
      </c>
      <c r="D5" s="29" t="s">
        <v>24</v>
      </c>
      <c r="E5" s="30">
        <v>92</v>
      </c>
      <c r="F5" s="30">
        <v>18.400000000000002</v>
      </c>
      <c r="G5" s="30">
        <v>0.2</v>
      </c>
      <c r="I5" t="s">
        <v>116</v>
      </c>
      <c r="L5" s="32"/>
      <c r="M5" s="32"/>
    </row>
    <row r="6" spans="1:13">
      <c r="A6" s="29" t="s">
        <v>10</v>
      </c>
      <c r="B6" s="29" t="s">
        <v>21</v>
      </c>
      <c r="C6" s="29" t="s">
        <v>14</v>
      </c>
      <c r="D6" s="29" t="s">
        <v>15</v>
      </c>
      <c r="E6" s="30">
        <v>96</v>
      </c>
      <c r="F6" s="30">
        <v>28.799999999999997</v>
      </c>
      <c r="G6" s="30">
        <v>0.2</v>
      </c>
      <c r="J6" t="s">
        <v>13</v>
      </c>
      <c r="L6" s="32"/>
      <c r="M6" s="32"/>
    </row>
    <row r="7" spans="1:13">
      <c r="A7" s="29" t="s">
        <v>27</v>
      </c>
      <c r="B7" s="29" t="s">
        <v>17</v>
      </c>
      <c r="C7" s="29" t="s">
        <v>14</v>
      </c>
      <c r="D7" s="29" t="s">
        <v>30</v>
      </c>
      <c r="E7" s="30">
        <v>84</v>
      </c>
      <c r="F7" s="30">
        <v>25.2</v>
      </c>
      <c r="G7" s="30">
        <v>0.3</v>
      </c>
      <c r="K7" t="s">
        <v>30</v>
      </c>
      <c r="L7" s="32" t="s">
        <v>121</v>
      </c>
      <c r="M7" s="32">
        <v>94</v>
      </c>
    </row>
    <row r="8" spans="1:13">
      <c r="A8" s="29" t="s">
        <v>27</v>
      </c>
      <c r="B8" s="29" t="s">
        <v>17</v>
      </c>
      <c r="C8" s="29" t="s">
        <v>18</v>
      </c>
      <c r="D8" s="29" t="s">
        <v>19</v>
      </c>
      <c r="E8" s="30">
        <v>100</v>
      </c>
      <c r="F8" s="30">
        <v>30</v>
      </c>
      <c r="G8" s="30">
        <v>0.3</v>
      </c>
      <c r="K8" t="s">
        <v>22</v>
      </c>
      <c r="L8" s="32">
        <v>85.333333333333329</v>
      </c>
      <c r="M8" s="32" t="s">
        <v>121</v>
      </c>
    </row>
    <row r="9" spans="1:13">
      <c r="A9" s="29" t="s">
        <v>27</v>
      </c>
      <c r="B9" s="29" t="s">
        <v>21</v>
      </c>
      <c r="C9" s="29" t="s">
        <v>18</v>
      </c>
      <c r="D9" s="29" t="s">
        <v>22</v>
      </c>
      <c r="E9" s="30">
        <v>96</v>
      </c>
      <c r="F9" s="30">
        <v>19.200000000000003</v>
      </c>
      <c r="G9" s="30">
        <v>0.2</v>
      </c>
      <c r="K9" t="s">
        <v>15</v>
      </c>
      <c r="L9" s="32" t="s">
        <v>121</v>
      </c>
      <c r="M9" s="32">
        <v>94</v>
      </c>
    </row>
    <row r="10" spans="1:13">
      <c r="A10" s="29" t="s">
        <v>27</v>
      </c>
      <c r="B10" s="29" t="s">
        <v>21</v>
      </c>
      <c r="C10" s="29" t="s">
        <v>18</v>
      </c>
      <c r="D10" s="29" t="s">
        <v>24</v>
      </c>
      <c r="E10" s="30">
        <v>80</v>
      </c>
      <c r="F10" s="30">
        <v>16</v>
      </c>
      <c r="G10" s="30">
        <v>0.1</v>
      </c>
      <c r="K10" t="s">
        <v>24</v>
      </c>
      <c r="L10" s="32">
        <v>96</v>
      </c>
      <c r="M10" s="32" t="s">
        <v>121</v>
      </c>
    </row>
    <row r="11" spans="1:13">
      <c r="A11" s="29" t="s">
        <v>27</v>
      </c>
      <c r="B11" s="29" t="s">
        <v>13</v>
      </c>
      <c r="C11" s="29" t="s">
        <v>14</v>
      </c>
      <c r="D11" s="29" t="s">
        <v>15</v>
      </c>
      <c r="E11" s="30">
        <v>88</v>
      </c>
      <c r="F11" s="30">
        <v>30.799999999999997</v>
      </c>
      <c r="G11" s="30">
        <v>0.35</v>
      </c>
      <c r="J11" t="s">
        <v>120</v>
      </c>
      <c r="L11" s="32">
        <v>89.6</v>
      </c>
      <c r="M11" s="32">
        <v>94</v>
      </c>
    </row>
    <row r="12" spans="1:13">
      <c r="A12" s="29" t="s">
        <v>27</v>
      </c>
      <c r="B12" s="29" t="s">
        <v>21</v>
      </c>
      <c r="C12" s="29" t="s">
        <v>14</v>
      </c>
      <c r="D12" s="29" t="s">
        <v>15</v>
      </c>
      <c r="E12" s="30">
        <v>92</v>
      </c>
      <c r="F12" s="30">
        <v>27.599999999999998</v>
      </c>
      <c r="G12" s="30">
        <v>0.3</v>
      </c>
      <c r="I12" t="s">
        <v>115</v>
      </c>
      <c r="L12" s="17"/>
      <c r="M12" s="17"/>
    </row>
    <row r="13" spans="1:13">
      <c r="A13" s="29" t="s">
        <v>37</v>
      </c>
      <c r="B13" s="29" t="s">
        <v>13</v>
      </c>
      <c r="C13" s="29" t="s">
        <v>14</v>
      </c>
      <c r="D13" s="29" t="s">
        <v>30</v>
      </c>
      <c r="E13" s="30">
        <v>88</v>
      </c>
      <c r="F13" s="30">
        <v>30.799999999999997</v>
      </c>
      <c r="G13" s="30">
        <v>0.35</v>
      </c>
      <c r="J13" t="s">
        <v>13</v>
      </c>
      <c r="L13" s="17"/>
      <c r="M13" s="17"/>
    </row>
    <row r="14" spans="1:13">
      <c r="A14" s="29" t="s">
        <v>37</v>
      </c>
      <c r="B14" s="29" t="s">
        <v>17</v>
      </c>
      <c r="C14" s="29" t="s">
        <v>18</v>
      </c>
      <c r="D14" s="29" t="s">
        <v>22</v>
      </c>
      <c r="E14" s="30">
        <v>72</v>
      </c>
      <c r="F14" s="30">
        <v>7.2</v>
      </c>
      <c r="G14" s="30">
        <v>0.1</v>
      </c>
      <c r="K14" t="s">
        <v>30</v>
      </c>
      <c r="L14" s="17" t="s">
        <v>121</v>
      </c>
      <c r="M14" s="17">
        <v>0.35</v>
      </c>
    </row>
    <row r="15" spans="1:13">
      <c r="A15" s="29" t="s">
        <v>37</v>
      </c>
      <c r="B15" s="29" t="s">
        <v>21</v>
      </c>
      <c r="C15" s="29" t="s">
        <v>18</v>
      </c>
      <c r="D15" s="29" t="s">
        <v>24</v>
      </c>
      <c r="E15" s="30">
        <v>68</v>
      </c>
      <c r="F15" s="30">
        <v>13.600000000000001</v>
      </c>
      <c r="G15" s="30">
        <v>0.2</v>
      </c>
      <c r="K15" t="s">
        <v>22</v>
      </c>
      <c r="L15" s="17">
        <v>0.13333333333333333</v>
      </c>
      <c r="M15" s="17" t="s">
        <v>121</v>
      </c>
    </row>
    <row r="16" spans="1:13">
      <c r="A16" s="29" t="s">
        <v>37</v>
      </c>
      <c r="B16" s="29" t="s">
        <v>17</v>
      </c>
      <c r="C16" s="29" t="s">
        <v>18</v>
      </c>
      <c r="D16" s="29" t="s">
        <v>19</v>
      </c>
      <c r="E16" s="30">
        <v>88</v>
      </c>
      <c r="F16" s="30">
        <v>26.4</v>
      </c>
      <c r="G16" s="30">
        <v>0.3</v>
      </c>
      <c r="K16" t="s">
        <v>15</v>
      </c>
      <c r="L16" s="17" t="s">
        <v>121</v>
      </c>
      <c r="M16" s="17">
        <v>0.35</v>
      </c>
    </row>
    <row r="17" spans="1:13">
      <c r="A17" s="29" t="s">
        <v>37</v>
      </c>
      <c r="B17" s="29" t="s">
        <v>13</v>
      </c>
      <c r="C17" s="29" t="s">
        <v>18</v>
      </c>
      <c r="D17" s="29" t="s">
        <v>22</v>
      </c>
      <c r="E17" s="30">
        <v>64</v>
      </c>
      <c r="F17" s="30">
        <v>6.4</v>
      </c>
      <c r="G17" s="30">
        <v>0.1</v>
      </c>
      <c r="K17" t="s">
        <v>24</v>
      </c>
      <c r="L17" s="17">
        <v>0.2</v>
      </c>
      <c r="M17" s="17" t="s">
        <v>121</v>
      </c>
    </row>
    <row r="18" spans="1:13">
      <c r="A18" s="29" t="s">
        <v>37</v>
      </c>
      <c r="B18" s="29" t="s">
        <v>21</v>
      </c>
      <c r="C18" s="29" t="s">
        <v>14</v>
      </c>
      <c r="D18" s="29" t="s">
        <v>15</v>
      </c>
      <c r="E18" s="30">
        <v>84</v>
      </c>
      <c r="F18" s="30">
        <v>25.2</v>
      </c>
      <c r="G18" s="30">
        <v>0.3</v>
      </c>
      <c r="J18" t="s">
        <v>120</v>
      </c>
      <c r="L18" s="17">
        <v>0.16</v>
      </c>
      <c r="M18" s="17">
        <v>0.35</v>
      </c>
    </row>
    <row r="19" spans="1:13">
      <c r="A19" s="29" t="s">
        <v>40</v>
      </c>
      <c r="B19" s="29" t="s">
        <v>21</v>
      </c>
      <c r="C19" s="29" t="s">
        <v>14</v>
      </c>
      <c r="D19" s="29" t="s">
        <v>30</v>
      </c>
      <c r="E19" s="30">
        <v>88</v>
      </c>
      <c r="F19" s="30">
        <v>26.4</v>
      </c>
      <c r="G19" s="30">
        <v>0.3</v>
      </c>
      <c r="I19" t="s">
        <v>117</v>
      </c>
      <c r="L19" s="32">
        <v>89.6</v>
      </c>
      <c r="M19" s="32">
        <v>94</v>
      </c>
    </row>
    <row r="20" spans="1:13">
      <c r="A20" s="29" t="s">
        <v>40</v>
      </c>
      <c r="B20" s="29" t="s">
        <v>17</v>
      </c>
      <c r="C20" s="29" t="s">
        <v>14</v>
      </c>
      <c r="D20" s="29" t="s">
        <v>15</v>
      </c>
      <c r="E20" s="30">
        <v>72</v>
      </c>
      <c r="F20" s="30">
        <v>21.599999999999998</v>
      </c>
      <c r="G20" s="30">
        <v>0.3</v>
      </c>
      <c r="I20" t="s">
        <v>118</v>
      </c>
      <c r="L20" s="17">
        <v>0.16</v>
      </c>
      <c r="M20" s="17">
        <v>0.35</v>
      </c>
    </row>
    <row r="21" spans="1:13">
      <c r="A21" s="29" t="s">
        <v>40</v>
      </c>
      <c r="B21" s="29" t="s">
        <v>13</v>
      </c>
      <c r="C21" s="29" t="s">
        <v>18</v>
      </c>
      <c r="D21" s="29" t="s">
        <v>22</v>
      </c>
      <c r="E21" s="30">
        <v>92</v>
      </c>
      <c r="F21" s="30">
        <v>9.2000000000000011</v>
      </c>
      <c r="G21" s="30">
        <v>0.1</v>
      </c>
    </row>
    <row r="22" spans="1:13">
      <c r="A22" s="29" t="s">
        <v>40</v>
      </c>
      <c r="B22" s="29" t="s">
        <v>13</v>
      </c>
      <c r="C22" s="29" t="s">
        <v>14</v>
      </c>
      <c r="D22" s="29" t="s">
        <v>30</v>
      </c>
      <c r="E22" s="30">
        <v>100</v>
      </c>
      <c r="F22" s="30">
        <v>35</v>
      </c>
      <c r="G22" s="30">
        <v>0.35</v>
      </c>
    </row>
    <row r="23" spans="1:13">
      <c r="A23" s="29" t="s">
        <v>40</v>
      </c>
      <c r="B23" s="29" t="s">
        <v>17</v>
      </c>
      <c r="C23" s="29" t="s">
        <v>18</v>
      </c>
      <c r="D23" s="29" t="s">
        <v>19</v>
      </c>
      <c r="E23" s="30">
        <v>64</v>
      </c>
      <c r="F23" s="30">
        <v>19.2</v>
      </c>
      <c r="G23" s="30">
        <v>0.3</v>
      </c>
    </row>
    <row r="24" spans="1:13">
      <c r="A24" s="29" t="s">
        <v>40</v>
      </c>
      <c r="B24" s="29" t="s">
        <v>21</v>
      </c>
      <c r="C24" s="29" t="s">
        <v>18</v>
      </c>
      <c r="D24" s="29" t="s">
        <v>24</v>
      </c>
      <c r="E24" s="30">
        <v>88</v>
      </c>
      <c r="F24" s="30">
        <v>17.600000000000001</v>
      </c>
      <c r="G24" s="30">
        <v>0.2</v>
      </c>
    </row>
    <row r="25" spans="1:13">
      <c r="A25" s="29" t="s">
        <v>43</v>
      </c>
      <c r="B25" s="29" t="s">
        <v>13</v>
      </c>
      <c r="C25" s="29" t="s">
        <v>18</v>
      </c>
      <c r="D25" s="29" t="s">
        <v>22</v>
      </c>
      <c r="E25" s="30">
        <v>100</v>
      </c>
      <c r="F25" s="30">
        <v>10</v>
      </c>
      <c r="G25" s="30">
        <v>0.2</v>
      </c>
    </row>
    <row r="26" spans="1:13">
      <c r="A26" s="29" t="s">
        <v>43</v>
      </c>
      <c r="B26" s="29" t="s">
        <v>17</v>
      </c>
      <c r="C26" s="29" t="s">
        <v>14</v>
      </c>
      <c r="D26" s="29" t="s">
        <v>15</v>
      </c>
      <c r="E26" s="30">
        <v>80</v>
      </c>
      <c r="F26" s="30">
        <v>24</v>
      </c>
      <c r="G26" s="30">
        <v>0.3</v>
      </c>
    </row>
    <row r="27" spans="1:13">
      <c r="A27" s="29" t="s">
        <v>43</v>
      </c>
      <c r="B27" s="29" t="s">
        <v>21</v>
      </c>
      <c r="C27" s="29" t="s">
        <v>18</v>
      </c>
      <c r="D27" s="29" t="s">
        <v>24</v>
      </c>
      <c r="E27" s="30">
        <v>72</v>
      </c>
      <c r="F27" s="30">
        <v>14.4</v>
      </c>
      <c r="G27" s="30">
        <v>0.2</v>
      </c>
    </row>
    <row r="28" spans="1:13">
      <c r="A28" s="29" t="s">
        <v>43</v>
      </c>
      <c r="B28" s="29" t="s">
        <v>17</v>
      </c>
      <c r="C28" s="29" t="s">
        <v>18</v>
      </c>
      <c r="D28" s="29" t="s">
        <v>19</v>
      </c>
      <c r="E28" s="30">
        <v>92</v>
      </c>
      <c r="F28" s="30">
        <v>27.599999999999998</v>
      </c>
      <c r="G28" s="30">
        <v>0.3</v>
      </c>
    </row>
    <row r="29" spans="1:13">
      <c r="A29" s="29" t="s">
        <v>43</v>
      </c>
      <c r="B29" s="29" t="s">
        <v>21</v>
      </c>
      <c r="C29" s="29" t="s">
        <v>14</v>
      </c>
      <c r="D29" s="29" t="s">
        <v>30</v>
      </c>
      <c r="E29" s="30">
        <v>72</v>
      </c>
      <c r="F29" s="30">
        <v>21.599999999999998</v>
      </c>
      <c r="G29" s="30">
        <v>0.3</v>
      </c>
    </row>
    <row r="30" spans="1:13">
      <c r="A30" s="29" t="s">
        <v>43</v>
      </c>
      <c r="B30" s="29" t="s">
        <v>13</v>
      </c>
      <c r="C30" s="29" t="s">
        <v>18</v>
      </c>
      <c r="D30" s="29" t="s">
        <v>24</v>
      </c>
      <c r="E30" s="30">
        <v>100</v>
      </c>
      <c r="F30" s="30">
        <v>20</v>
      </c>
      <c r="G30" s="30">
        <v>0.2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5"/>
  <sheetViews>
    <sheetView workbookViewId="0"/>
  </sheetViews>
  <sheetFormatPr defaultRowHeight="16.5"/>
  <cols>
    <col min="1" max="1" width="2.75" customWidth="1"/>
    <col min="3" max="3" width="9.375" customWidth="1"/>
  </cols>
  <sheetData>
    <row r="1" spans="2:9">
      <c r="B1" t="s">
        <v>80</v>
      </c>
    </row>
    <row r="2" spans="2:9">
      <c r="D2" t="s">
        <v>81</v>
      </c>
      <c r="E2" s="17">
        <v>0.1</v>
      </c>
    </row>
    <row r="3" spans="2:9">
      <c r="B3" s="18"/>
      <c r="C3" s="1" t="s">
        <v>82</v>
      </c>
      <c r="D3" s="1" t="s">
        <v>83</v>
      </c>
      <c r="E3" s="1" t="s">
        <v>84</v>
      </c>
    </row>
    <row r="4" spans="2:9">
      <c r="B4" s="1" t="s">
        <v>85</v>
      </c>
      <c r="C4" s="19">
        <v>10000</v>
      </c>
      <c r="D4" s="19">
        <v>6500</v>
      </c>
      <c r="E4" s="19">
        <f>C4+D4-(C4+D4)*$E$2</f>
        <v>14850</v>
      </c>
    </row>
    <row r="5" spans="2:9">
      <c r="B5" s="1" t="s">
        <v>86</v>
      </c>
      <c r="C5" s="19">
        <v>8000</v>
      </c>
      <c r="D5" s="19">
        <v>5000</v>
      </c>
      <c r="E5" s="19">
        <f t="shared" ref="E5:E6" si="0">C5+D5-(C5+D5)*$E$2</f>
        <v>11700</v>
      </c>
    </row>
    <row r="6" spans="2:9">
      <c r="B6" s="1" t="s">
        <v>87</v>
      </c>
      <c r="C6" s="19">
        <v>5500</v>
      </c>
      <c r="D6" s="19">
        <v>4000</v>
      </c>
      <c r="E6" s="19">
        <f t="shared" si="0"/>
        <v>8550</v>
      </c>
    </row>
    <row r="8" spans="2:9">
      <c r="D8" s="20" t="s">
        <v>81</v>
      </c>
    </row>
    <row r="9" spans="2:9">
      <c r="C9" s="21">
        <f>C4+D4-(C4+D4)*$E$2</f>
        <v>14850</v>
      </c>
      <c r="D9" s="22">
        <v>0.15</v>
      </c>
      <c r="E9" s="22">
        <v>0.2</v>
      </c>
      <c r="F9" s="22">
        <v>0.25</v>
      </c>
      <c r="G9" s="22">
        <v>0.3</v>
      </c>
      <c r="H9" s="22">
        <v>0.35</v>
      </c>
      <c r="I9" s="22">
        <v>0.4</v>
      </c>
    </row>
    <row r="10" spans="2:9">
      <c r="B10" s="23" t="s">
        <v>82</v>
      </c>
      <c r="C10" s="21">
        <v>10000</v>
      </c>
      <c r="D10" s="24">
        <f t="dataTable" ref="D10:I15" dt2D="1" dtr="1" r1="E2" r2="C4"/>
        <v>14025</v>
      </c>
      <c r="E10" s="24">
        <v>13200</v>
      </c>
      <c r="F10" s="24">
        <v>12375</v>
      </c>
      <c r="G10" s="24">
        <v>11550</v>
      </c>
      <c r="H10" s="24">
        <v>10725</v>
      </c>
      <c r="I10" s="24">
        <v>9900</v>
      </c>
    </row>
    <row r="11" spans="2:9">
      <c r="C11" s="21">
        <v>12000</v>
      </c>
      <c r="D11" s="24">
        <v>15725</v>
      </c>
      <c r="E11" s="24">
        <v>14800</v>
      </c>
      <c r="F11" s="24">
        <v>13875</v>
      </c>
      <c r="G11" s="24">
        <v>12950</v>
      </c>
      <c r="H11" s="24">
        <v>12025</v>
      </c>
      <c r="I11" s="24">
        <v>11100</v>
      </c>
    </row>
    <row r="12" spans="2:9">
      <c r="C12" s="21">
        <v>14000</v>
      </c>
      <c r="D12" s="24">
        <v>17425</v>
      </c>
      <c r="E12" s="24">
        <v>16400</v>
      </c>
      <c r="F12" s="24">
        <v>15375</v>
      </c>
      <c r="G12" s="24">
        <v>14350</v>
      </c>
      <c r="H12" s="24">
        <v>13325</v>
      </c>
      <c r="I12" s="24">
        <v>12300</v>
      </c>
    </row>
    <row r="13" spans="2:9">
      <c r="C13" s="21">
        <v>16000</v>
      </c>
      <c r="D13" s="24">
        <v>19125</v>
      </c>
      <c r="E13" s="24">
        <v>18000</v>
      </c>
      <c r="F13" s="24">
        <v>16875</v>
      </c>
      <c r="G13" s="24">
        <v>15750</v>
      </c>
      <c r="H13" s="24">
        <v>14625</v>
      </c>
      <c r="I13" s="24">
        <v>13500</v>
      </c>
    </row>
    <row r="14" spans="2:9">
      <c r="C14" s="21">
        <v>18000</v>
      </c>
      <c r="D14" s="24">
        <v>20825</v>
      </c>
      <c r="E14" s="24">
        <v>19600</v>
      </c>
      <c r="F14" s="24">
        <v>18375</v>
      </c>
      <c r="G14" s="24">
        <v>17150</v>
      </c>
      <c r="H14" s="24">
        <v>15925</v>
      </c>
      <c r="I14" s="24">
        <v>14700</v>
      </c>
    </row>
    <row r="15" spans="2:9">
      <c r="C15" s="21">
        <v>20000</v>
      </c>
      <c r="D15" s="24">
        <v>22525</v>
      </c>
      <c r="E15" s="24">
        <v>21200</v>
      </c>
      <c r="F15" s="24">
        <v>19875</v>
      </c>
      <c r="G15" s="24">
        <v>18550</v>
      </c>
      <c r="H15" s="24">
        <v>17225</v>
      </c>
      <c r="I15" s="24">
        <v>15900</v>
      </c>
    </row>
  </sheetData>
  <dataConsolidate/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E8"/>
  <sheetViews>
    <sheetView workbookViewId="0"/>
  </sheetViews>
  <sheetFormatPr defaultRowHeight="16.5"/>
  <cols>
    <col min="1" max="1" width="2.25" customWidth="1"/>
    <col min="2" max="2" width="7.125" bestFit="1" customWidth="1"/>
    <col min="6" max="6" width="3.5" customWidth="1"/>
  </cols>
  <sheetData>
    <row r="2" spans="2:5">
      <c r="B2" t="s">
        <v>88</v>
      </c>
    </row>
    <row r="3" spans="2:5">
      <c r="B3" s="25"/>
      <c r="C3" s="7" t="s">
        <v>64</v>
      </c>
      <c r="D3" s="7" t="s">
        <v>67</v>
      </c>
      <c r="E3" s="1" t="s">
        <v>89</v>
      </c>
    </row>
    <row r="4" spans="2:5">
      <c r="B4" s="7" t="s">
        <v>61</v>
      </c>
      <c r="C4" s="10">
        <v>100</v>
      </c>
      <c r="D4" s="10">
        <v>64</v>
      </c>
      <c r="E4" s="1">
        <v>75</v>
      </c>
    </row>
    <row r="5" spans="2:5">
      <c r="B5" s="7" t="s">
        <v>70</v>
      </c>
      <c r="C5" s="10">
        <v>95</v>
      </c>
      <c r="D5" s="10">
        <v>85</v>
      </c>
      <c r="E5" s="1">
        <v>95</v>
      </c>
    </row>
    <row r="6" spans="2:5">
      <c r="B6" s="7" t="s">
        <v>74</v>
      </c>
      <c r="C6" s="10">
        <v>84</v>
      </c>
      <c r="D6" s="10">
        <v>100</v>
      </c>
      <c r="E6" s="1">
        <v>68</v>
      </c>
    </row>
    <row r="7" spans="2:5">
      <c r="B7" s="7" t="s">
        <v>76</v>
      </c>
      <c r="C7" s="10">
        <v>88</v>
      </c>
      <c r="D7" s="10">
        <v>72</v>
      </c>
      <c r="E7" s="1">
        <v>88</v>
      </c>
    </row>
    <row r="8" spans="2:5">
      <c r="B8" s="7" t="s">
        <v>78</v>
      </c>
      <c r="C8" s="10">
        <v>100</v>
      </c>
      <c r="D8" s="10">
        <v>80</v>
      </c>
      <c r="E8" s="1">
        <v>80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21"/>
  <sheetViews>
    <sheetView workbookViewId="0"/>
  </sheetViews>
  <sheetFormatPr defaultRowHeight="16.5"/>
  <cols>
    <col min="1" max="1" width="5.25" customWidth="1"/>
    <col min="4" max="4" width="14.375" bestFit="1" customWidth="1"/>
    <col min="5" max="5" width="10.625" customWidth="1"/>
    <col min="6" max="8" width="12" customWidth="1"/>
    <col min="9" max="9" width="4.375" customWidth="1"/>
    <col min="10" max="10" width="13.625" customWidth="1"/>
    <col min="11" max="11" width="10.25" customWidth="1"/>
    <col min="12" max="12" width="12.125" customWidth="1"/>
  </cols>
  <sheetData>
    <row r="1" spans="2:11">
      <c r="F1" s="26"/>
      <c r="G1" s="26"/>
      <c r="H1" s="26"/>
    </row>
    <row r="3" spans="2:11">
      <c r="B3" t="s">
        <v>90</v>
      </c>
    </row>
    <row r="4" spans="2:11">
      <c r="B4" s="1" t="s">
        <v>91</v>
      </c>
      <c r="C4" s="1" t="s">
        <v>92</v>
      </c>
      <c r="D4" s="1" t="s">
        <v>93</v>
      </c>
      <c r="E4" s="1" t="s">
        <v>94</v>
      </c>
      <c r="F4" s="1" t="s">
        <v>95</v>
      </c>
      <c r="G4" s="1" t="s">
        <v>96</v>
      </c>
      <c r="H4" s="1" t="s">
        <v>97</v>
      </c>
      <c r="J4" s="27" t="s">
        <v>94</v>
      </c>
      <c r="K4" s="27" t="s">
        <v>98</v>
      </c>
    </row>
    <row r="5" spans="2:11">
      <c r="B5" s="18">
        <v>1</v>
      </c>
      <c r="C5" s="18" t="s">
        <v>99</v>
      </c>
      <c r="D5" s="18" t="s">
        <v>100</v>
      </c>
      <c r="E5" s="18" t="s">
        <v>101</v>
      </c>
      <c r="F5" s="18" t="s">
        <v>102</v>
      </c>
      <c r="G5" s="18" t="s">
        <v>103</v>
      </c>
      <c r="H5" s="18">
        <v>240000</v>
      </c>
      <c r="J5" s="27" t="s">
        <v>104</v>
      </c>
      <c r="K5" s="27">
        <v>120000</v>
      </c>
    </row>
    <row r="6" spans="2:11">
      <c r="B6" s="18"/>
      <c r="C6" s="18"/>
      <c r="D6" s="18"/>
      <c r="E6" s="18"/>
      <c r="F6" s="18"/>
      <c r="G6" s="18"/>
      <c r="H6" s="18"/>
      <c r="J6" s="27" t="s">
        <v>105</v>
      </c>
      <c r="K6" s="27">
        <v>120000</v>
      </c>
    </row>
    <row r="7" spans="2:11">
      <c r="B7" s="18"/>
      <c r="C7" s="18"/>
      <c r="D7" s="18"/>
      <c r="E7" s="18"/>
      <c r="F7" s="18"/>
      <c r="G7" s="18"/>
      <c r="H7" s="18"/>
      <c r="J7" s="27" t="s">
        <v>106</v>
      </c>
      <c r="K7" s="27">
        <v>150000</v>
      </c>
    </row>
    <row r="8" spans="2:11">
      <c r="B8" s="18"/>
      <c r="C8" s="18"/>
      <c r="D8" s="18"/>
      <c r="E8" s="18"/>
      <c r="F8" s="18"/>
      <c r="G8" s="18"/>
      <c r="H8" s="18"/>
      <c r="J8" s="27" t="s">
        <v>107</v>
      </c>
      <c r="K8" s="27">
        <v>150000</v>
      </c>
    </row>
    <row r="9" spans="2:11">
      <c r="B9" s="18"/>
      <c r="C9" s="18"/>
      <c r="D9" s="18"/>
      <c r="E9" s="18"/>
      <c r="F9" s="18"/>
      <c r="G9" s="18"/>
      <c r="H9" s="18"/>
      <c r="J9" s="27" t="s">
        <v>108</v>
      </c>
      <c r="K9" s="27">
        <v>180000</v>
      </c>
    </row>
    <row r="10" spans="2:11">
      <c r="B10" s="18"/>
      <c r="C10" s="18"/>
      <c r="D10" s="18"/>
      <c r="E10" s="18"/>
      <c r="F10" s="18"/>
      <c r="G10" s="18"/>
      <c r="H10" s="18"/>
    </row>
    <row r="11" spans="2:11">
      <c r="B11" s="18"/>
      <c r="C11" s="18"/>
      <c r="D11" s="18"/>
      <c r="E11" s="18"/>
      <c r="F11" s="18"/>
      <c r="G11" s="18"/>
      <c r="H11" s="18"/>
    </row>
    <row r="12" spans="2:11">
      <c r="B12" s="18"/>
      <c r="C12" s="18"/>
      <c r="D12" s="18"/>
      <c r="E12" s="18"/>
      <c r="F12" s="18"/>
      <c r="G12" s="18"/>
      <c r="H12" s="18"/>
    </row>
    <row r="13" spans="2:11">
      <c r="B13" s="18"/>
      <c r="C13" s="18"/>
      <c r="D13" s="18"/>
      <c r="E13" s="18"/>
      <c r="F13" s="18"/>
      <c r="G13" s="18"/>
      <c r="H13" s="18"/>
    </row>
    <row r="14" spans="2:11">
      <c r="B14" s="18"/>
      <c r="C14" s="18"/>
      <c r="D14" s="18"/>
      <c r="E14" s="18"/>
      <c r="F14" s="18"/>
      <c r="G14" s="18"/>
      <c r="H14" s="18"/>
    </row>
    <row r="15" spans="2:11">
      <c r="B15" s="18"/>
      <c r="C15" s="18"/>
      <c r="D15" s="18"/>
      <c r="E15" s="18"/>
      <c r="F15" s="18"/>
      <c r="G15" s="18"/>
      <c r="H15" s="18"/>
    </row>
    <row r="16" spans="2:11">
      <c r="B16" s="18"/>
      <c r="C16" s="18"/>
      <c r="D16" s="18"/>
      <c r="E16" s="18"/>
      <c r="F16" s="18"/>
      <c r="G16" s="18"/>
      <c r="H16" s="18"/>
    </row>
    <row r="17" spans="2:8">
      <c r="B17" s="18"/>
      <c r="C17" s="18"/>
      <c r="D17" s="18"/>
      <c r="E17" s="18"/>
      <c r="F17" s="18"/>
      <c r="G17" s="18"/>
      <c r="H17" s="18"/>
    </row>
    <row r="18" spans="2:8">
      <c r="B18" s="18"/>
      <c r="C18" s="18"/>
      <c r="D18" s="18"/>
      <c r="E18" s="18"/>
      <c r="F18" s="18"/>
      <c r="G18" s="18"/>
      <c r="H18" s="18"/>
    </row>
    <row r="19" spans="2:8">
      <c r="B19" s="18"/>
      <c r="C19" s="18"/>
      <c r="D19" s="18"/>
      <c r="E19" s="18"/>
      <c r="F19" s="18"/>
      <c r="G19" s="18"/>
      <c r="H19" s="18"/>
    </row>
    <row r="20" spans="2:8">
      <c r="B20" s="18"/>
      <c r="C20" s="18"/>
      <c r="D20" s="18"/>
      <c r="E20" s="18"/>
      <c r="F20" s="18"/>
      <c r="G20" s="18"/>
      <c r="H20" s="18"/>
    </row>
    <row r="21" spans="2:8">
      <c r="B21" s="18"/>
      <c r="C21" s="18"/>
      <c r="D21" s="18"/>
      <c r="E21" s="18"/>
      <c r="F21" s="18"/>
      <c r="G21" s="18"/>
      <c r="H21" s="18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펜션예약">
          <controlPr defaultSize="0" autoLine="0" r:id="rId4">
            <anchor moveWithCells="1">
              <from>
                <xdr:col>7</xdr:col>
                <xdr:colOff>85725</xdr:colOff>
                <xdr:row>0</xdr:row>
                <xdr:rowOff>104775</xdr:rowOff>
              </from>
              <to>
                <xdr:col>7</xdr:col>
                <xdr:colOff>904875</xdr:colOff>
                <xdr:row>2</xdr:row>
                <xdr:rowOff>38100</xdr:rowOff>
              </to>
            </anchor>
          </controlPr>
        </control>
      </mc:Choice>
      <mc:Fallback>
        <control shapeId="3073" r:id="rId3" name="cmd펜션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2017-08-31T02:01:46Z</dcterms:created>
  <dcterms:modified xsi:type="dcterms:W3CDTF">2017-09-14T11:54:47Z</dcterms:modified>
</cp:coreProperties>
</file>