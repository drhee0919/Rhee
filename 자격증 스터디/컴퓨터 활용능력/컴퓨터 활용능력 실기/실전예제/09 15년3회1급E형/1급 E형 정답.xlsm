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20" windowWidth="26955" windowHeight="1300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2" hidden="1">계산작업!$B$2:$M$30</definedName>
    <definedName name="_xlnm._FilterDatabase" localSheetId="1" hidden="1">'기본작업-2'!$A$2:$I$30</definedName>
    <definedName name="_xlnm.Criteria" localSheetId="2">계산작업!#REF!</definedName>
    <definedName name="_xlnm.Criteria" localSheetId="1">'기본작업-2'!$A$32:$A$33</definedName>
    <definedName name="_xlnm.Extract" localSheetId="2">계산작업!#REF!</definedName>
    <definedName name="_xlnm.Extract" localSheetId="1">'기본작업-2'!$A$35:$I$35</definedName>
    <definedName name="MS_Access_Database_Query" localSheetId="0" hidden="1">'기본작업-1'!$B$2:$G$7</definedName>
  </definedNames>
  <calcPr calcId="145621"/>
  <pivotCaches>
    <pivotCache cacheId="31" r:id="rId8"/>
  </pivotCaches>
</workbook>
</file>

<file path=xl/calcChain.xml><?xml version="1.0" encoding="utf-8"?>
<calcChain xmlns="http://schemas.openxmlformats.org/spreadsheetml/2006/main">
  <c r="E12" i="6" l="1"/>
  <c r="E11" i="6"/>
  <c r="E10" i="6"/>
  <c r="E9" i="6"/>
  <c r="E8" i="6"/>
  <c r="E7" i="6"/>
  <c r="E6" i="6"/>
  <c r="E5" i="6"/>
  <c r="E4" i="6"/>
  <c r="E3" i="6"/>
  <c r="J36" i="3" a="1"/>
  <c r="J36" i="3" s="1"/>
  <c r="I36" i="3"/>
  <c r="I36" i="3" a="1"/>
  <c r="H36" i="3" a="1"/>
  <c r="H36" i="3" s="1"/>
  <c r="J35" i="3"/>
  <c r="J35" i="3" a="1"/>
  <c r="I35" i="3" a="1"/>
  <c r="I35" i="3" s="1"/>
  <c r="H35" i="3"/>
  <c r="H35" i="3" a="1"/>
  <c r="J34" i="3" a="1"/>
  <c r="J34" i="3" s="1"/>
  <c r="I34" i="3"/>
  <c r="I34" i="3" a="1"/>
  <c r="H34" i="3" a="1"/>
  <c r="H34" i="3" s="1"/>
  <c r="L30" i="3"/>
  <c r="H30" i="3"/>
  <c r="C30" i="3"/>
  <c r="L29" i="3"/>
  <c r="H29" i="3"/>
  <c r="C29" i="3"/>
  <c r="L28" i="3"/>
  <c r="H28" i="3"/>
  <c r="C28" i="3"/>
  <c r="L27" i="3"/>
  <c r="H27" i="3"/>
  <c r="C27" i="3"/>
  <c r="L26" i="3"/>
  <c r="H26" i="3"/>
  <c r="C26" i="3"/>
  <c r="L25" i="3"/>
  <c r="H25" i="3"/>
  <c r="C25" i="3"/>
  <c r="L24" i="3"/>
  <c r="H24" i="3"/>
  <c r="C24" i="3"/>
  <c r="L23" i="3"/>
  <c r="H23" i="3"/>
  <c r="C23" i="3"/>
  <c r="L22" i="3"/>
  <c r="H22" i="3"/>
  <c r="C22" i="3"/>
  <c r="L21" i="3"/>
  <c r="H21" i="3"/>
  <c r="C21" i="3"/>
  <c r="L20" i="3"/>
  <c r="H20" i="3"/>
  <c r="C20" i="3"/>
  <c r="L19" i="3"/>
  <c r="H19" i="3"/>
  <c r="C19" i="3"/>
  <c r="L18" i="3"/>
  <c r="H18" i="3"/>
  <c r="C18" i="3"/>
  <c r="L17" i="3"/>
  <c r="H17" i="3"/>
  <c r="C17" i="3"/>
  <c r="L16" i="3"/>
  <c r="H16" i="3"/>
  <c r="C16" i="3"/>
  <c r="L15" i="3"/>
  <c r="H15" i="3"/>
  <c r="C15" i="3"/>
  <c r="L14" i="3"/>
  <c r="H14" i="3"/>
  <c r="C14" i="3"/>
  <c r="L13" i="3"/>
  <c r="H13" i="3"/>
  <c r="C13" i="3"/>
  <c r="L12" i="3"/>
  <c r="H12" i="3"/>
  <c r="C12" i="3"/>
  <c r="L11" i="3"/>
  <c r="H11" i="3"/>
  <c r="C11" i="3"/>
  <c r="L10" i="3"/>
  <c r="H10" i="3"/>
  <c r="C10" i="3"/>
  <c r="L9" i="3"/>
  <c r="H9" i="3"/>
  <c r="C9" i="3"/>
  <c r="L8" i="3"/>
  <c r="H8" i="3"/>
  <c r="C8" i="3"/>
  <c r="L7" i="3"/>
  <c r="H7" i="3"/>
  <c r="C7" i="3"/>
  <c r="L6" i="3"/>
  <c r="H6" i="3"/>
  <c r="C6" i="3"/>
  <c r="L5" i="3"/>
  <c r="H5" i="3"/>
  <c r="C5" i="3"/>
  <c r="L4" i="3"/>
  <c r="H4" i="3"/>
  <c r="C4" i="3"/>
  <c r="L3" i="3"/>
  <c r="H3" i="3"/>
  <c r="C3" i="3"/>
  <c r="A33" i="2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3 최신기출문제\05 15년3회1급E형\상공학원.accdb;DefaultDir=C:\길벗컴활1급\03 최신기출문제\05 15년3회1급E형;DriverId=25;FIL=MS Access;MaxBufferSize=2048;PageTimeout=5;" command="SELECT 종로점.강의코드, 종로점.강의시작일, 종로점.학년, 종로점.과목, 종로점.수강료할인율, 종로점.수강인원_x000d__x000a_FROM `C:\길벗컴활1급\03 최신기출문제\05 15년3회1급E형\상공학원.accdb`.종로점 종로점_x000d__x000a_WHERE (종로점.강의시작일&gt;={ts '2015-01-01 00:00:00'} And 종로점.강의시작일&lt;={ts '2015-12-31 00:00:00'}) AND (종로점.수강인원&gt;=100)_x000d__x000a_ORDER BY 종로점.과목, 종로점.수강인원 DESC"/>
  </connection>
</connections>
</file>

<file path=xl/sharedStrings.xml><?xml version="1.0" encoding="utf-8"?>
<sst xmlns="http://schemas.openxmlformats.org/spreadsheetml/2006/main" count="590" uniqueCount="173">
  <si>
    <t>[표1]</t>
    <phoneticPr fontId="2" type="noConversion"/>
  </si>
  <si>
    <t>강의코드</t>
  </si>
  <si>
    <t>강의시작일</t>
    <phoneticPr fontId="2" type="noConversion"/>
  </si>
  <si>
    <t>강사</t>
  </si>
  <si>
    <t>학년</t>
  </si>
  <si>
    <t>과목</t>
  </si>
  <si>
    <t>수강료할인율</t>
  </si>
  <si>
    <t>현재강의수</t>
  </si>
  <si>
    <t>수강인원</t>
  </si>
  <si>
    <t>전체강의수</t>
  </si>
  <si>
    <t>S-15-007</t>
  </si>
  <si>
    <t>박찬훈</t>
  </si>
  <si>
    <t>고2</t>
  </si>
  <si>
    <t>수학</t>
  </si>
  <si>
    <t>S-15-013</t>
  </si>
  <si>
    <t>박준혁</t>
  </si>
  <si>
    <t>고1</t>
  </si>
  <si>
    <t>영어</t>
  </si>
  <si>
    <t>S-16-021</t>
  </si>
  <si>
    <t>이명섭</t>
  </si>
  <si>
    <t>고3</t>
  </si>
  <si>
    <t>S-16-022</t>
  </si>
  <si>
    <t>한우규</t>
  </si>
  <si>
    <t>국어</t>
  </si>
  <si>
    <t>S-16-023</t>
  </si>
  <si>
    <t>이소라</t>
  </si>
  <si>
    <t>S-16-024</t>
  </si>
  <si>
    <t>황성호</t>
  </si>
  <si>
    <t>S-16-020</t>
  </si>
  <si>
    <t>S-15-011</t>
  </si>
  <si>
    <t>성유희</t>
  </si>
  <si>
    <t>S-15-001</t>
  </si>
  <si>
    <t>이남석</t>
  </si>
  <si>
    <t>S-15-002</t>
  </si>
  <si>
    <t>S-15-008</t>
  </si>
  <si>
    <t>S-15-015</t>
  </si>
  <si>
    <t>S-15-016</t>
  </si>
  <si>
    <t>S-15-017</t>
  </si>
  <si>
    <t>S-15-018</t>
  </si>
  <si>
    <t>정영일</t>
  </si>
  <si>
    <t>S-15-019</t>
  </si>
  <si>
    <t>S-15-003</t>
  </si>
  <si>
    <t>S-15-004</t>
  </si>
  <si>
    <t>S-15-009</t>
  </si>
  <si>
    <t>S-15-006</t>
  </si>
  <si>
    <t>정재익</t>
  </si>
  <si>
    <t>S-15-012</t>
  </si>
  <si>
    <t>진희수</t>
  </si>
  <si>
    <t>S-15-010</t>
  </si>
  <si>
    <t>S-15-014</t>
  </si>
  <si>
    <t>홍길동</t>
  </si>
  <si>
    <t>S-15-005</t>
  </si>
  <si>
    <t>김인하</t>
  </si>
  <si>
    <t>S-16-025</t>
  </si>
  <si>
    <t>S-16-026</t>
  </si>
  <si>
    <t>S-16-027</t>
  </si>
  <si>
    <t>S-16-028</t>
  </si>
  <si>
    <t>조건</t>
    <phoneticPr fontId="2" type="noConversion"/>
  </si>
  <si>
    <t>[표1]</t>
    <phoneticPr fontId="2" type="noConversion"/>
  </si>
  <si>
    <t>코드</t>
    <phoneticPr fontId="2" type="noConversion"/>
  </si>
  <si>
    <t>강의코드</t>
    <phoneticPr fontId="2" type="noConversion"/>
  </si>
  <si>
    <t>강의년도</t>
    <phoneticPr fontId="2" type="noConversion"/>
  </si>
  <si>
    <t>강사</t>
    <phoneticPr fontId="2" type="noConversion"/>
  </si>
  <si>
    <t>학년</t>
    <phoneticPr fontId="2" type="noConversion"/>
  </si>
  <si>
    <t>과목</t>
    <phoneticPr fontId="2" type="noConversion"/>
  </si>
  <si>
    <t>수강료할인율</t>
    <phoneticPr fontId="2" type="noConversion"/>
  </si>
  <si>
    <t>현재강의수</t>
    <phoneticPr fontId="2" type="noConversion"/>
  </si>
  <si>
    <t>수강인원</t>
    <phoneticPr fontId="2" type="noConversion"/>
  </si>
  <si>
    <t>전체강의수</t>
    <phoneticPr fontId="2" type="noConversion"/>
  </si>
  <si>
    <t>진행율</t>
    <phoneticPr fontId="2" type="noConversion"/>
  </si>
  <si>
    <t>비고</t>
    <phoneticPr fontId="2" type="noConversion"/>
  </si>
  <si>
    <t>S001</t>
    <phoneticPr fontId="2" type="noConversion"/>
  </si>
  <si>
    <t>이남석</t>
    <phoneticPr fontId="2" type="noConversion"/>
  </si>
  <si>
    <t>고1</t>
    <phoneticPr fontId="2" type="noConversion"/>
  </si>
  <si>
    <t>수학</t>
    <phoneticPr fontId="2" type="noConversion"/>
  </si>
  <si>
    <t>S002</t>
  </si>
  <si>
    <t>고3</t>
    <phoneticPr fontId="2" type="noConversion"/>
  </si>
  <si>
    <t>영어</t>
    <phoneticPr fontId="2" type="noConversion"/>
  </si>
  <si>
    <t>S003</t>
  </si>
  <si>
    <t>고1</t>
    <phoneticPr fontId="2" type="noConversion"/>
  </si>
  <si>
    <t>국어</t>
    <phoneticPr fontId="2" type="noConversion"/>
  </si>
  <si>
    <t>S004</t>
  </si>
  <si>
    <t>박찬훈</t>
    <phoneticPr fontId="5" type="noConversion"/>
  </si>
  <si>
    <t>수학</t>
    <phoneticPr fontId="2" type="noConversion"/>
  </si>
  <si>
    <t>S005</t>
  </si>
  <si>
    <t>김인하</t>
    <phoneticPr fontId="5" type="noConversion"/>
  </si>
  <si>
    <t>고2</t>
    <phoneticPr fontId="2" type="noConversion"/>
  </si>
  <si>
    <t>S006</t>
  </si>
  <si>
    <t>고2</t>
    <phoneticPr fontId="2" type="noConversion"/>
  </si>
  <si>
    <t>수학</t>
    <phoneticPr fontId="2" type="noConversion"/>
  </si>
  <si>
    <t>S007</t>
  </si>
  <si>
    <t>박찬훈</t>
    <phoneticPr fontId="5" type="noConversion"/>
  </si>
  <si>
    <t>S008</t>
  </si>
  <si>
    <t>고3</t>
    <phoneticPr fontId="2" type="noConversion"/>
  </si>
  <si>
    <t>수학</t>
    <phoneticPr fontId="2" type="noConversion"/>
  </si>
  <si>
    <t>S009</t>
  </si>
  <si>
    <t>한우규</t>
    <phoneticPr fontId="5" type="noConversion"/>
  </si>
  <si>
    <t>국어</t>
    <phoneticPr fontId="2" type="noConversion"/>
  </si>
  <si>
    <t>S010</t>
  </si>
  <si>
    <t>S011</t>
  </si>
  <si>
    <t>성유희</t>
    <phoneticPr fontId="5" type="noConversion"/>
  </si>
  <si>
    <t>고2</t>
    <phoneticPr fontId="2" type="noConversion"/>
  </si>
  <si>
    <t>국어</t>
    <phoneticPr fontId="2" type="noConversion"/>
  </si>
  <si>
    <t>S012</t>
  </si>
  <si>
    <t>고1</t>
    <phoneticPr fontId="2" type="noConversion"/>
  </si>
  <si>
    <t>영어</t>
    <phoneticPr fontId="2" type="noConversion"/>
  </si>
  <si>
    <t>S013</t>
  </si>
  <si>
    <t>영어</t>
    <phoneticPr fontId="2" type="noConversion"/>
  </si>
  <si>
    <t>S014</t>
  </si>
  <si>
    <t>홍길동</t>
    <phoneticPr fontId="5" type="noConversion"/>
  </si>
  <si>
    <t>고3</t>
    <phoneticPr fontId="2" type="noConversion"/>
  </si>
  <si>
    <t>국어</t>
    <phoneticPr fontId="2" type="noConversion"/>
  </si>
  <si>
    <t>S015</t>
  </si>
  <si>
    <t>성유희</t>
    <phoneticPr fontId="5" type="noConversion"/>
  </si>
  <si>
    <t>고1</t>
    <phoneticPr fontId="2" type="noConversion"/>
  </si>
  <si>
    <t>국어</t>
    <phoneticPr fontId="2" type="noConversion"/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</si>
  <si>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</si>
  <si>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</si>
  <si>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</si>
  <si>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</si>
  <si>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</si>
  <si>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고2</t>
    <phoneticPr fontId="2" type="noConversion"/>
  </si>
  <si>
    <t>영어</t>
    <phoneticPr fontId="2" type="noConversion"/>
  </si>
  <si>
    <t>S019</t>
  </si>
  <si>
    <t>이명섭</t>
    <phoneticPr fontId="5" type="noConversion"/>
  </si>
  <si>
    <t>고3</t>
    <phoneticPr fontId="2" type="noConversion"/>
  </si>
  <si>
    <t>영어</t>
    <phoneticPr fontId="2" type="noConversion"/>
  </si>
  <si>
    <t>S020</t>
  </si>
  <si>
    <t>고3</t>
    <phoneticPr fontId="2" type="noConversion"/>
  </si>
  <si>
    <t>S021</t>
  </si>
  <si>
    <t>이명섭</t>
    <phoneticPr fontId="5" type="noConversion"/>
  </si>
  <si>
    <t>S022</t>
  </si>
  <si>
    <t>한우규</t>
    <phoneticPr fontId="5" type="noConversion"/>
  </si>
  <si>
    <t>국어</t>
    <phoneticPr fontId="2" type="noConversion"/>
  </si>
  <si>
    <t>S023</t>
  </si>
  <si>
    <t>이소라</t>
    <phoneticPr fontId="5" type="noConversion"/>
  </si>
  <si>
    <t>S024</t>
  </si>
  <si>
    <t>수학</t>
    <phoneticPr fontId="2" type="noConversion"/>
  </si>
  <si>
    <t>S025</t>
  </si>
  <si>
    <t>S026</t>
  </si>
  <si>
    <t>홍길동</t>
    <phoneticPr fontId="5" type="noConversion"/>
  </si>
  <si>
    <t>국어</t>
    <phoneticPr fontId="2" type="noConversion"/>
  </si>
  <si>
    <t>S027</t>
  </si>
  <si>
    <t>김인하</t>
    <phoneticPr fontId="5" type="noConversion"/>
  </si>
  <si>
    <t>S028</t>
  </si>
  <si>
    <t>고2</t>
    <phoneticPr fontId="2" type="noConversion"/>
  </si>
  <si>
    <t>수학</t>
    <phoneticPr fontId="2" type="noConversion"/>
  </si>
  <si>
    <t>[표2] 할인율표</t>
    <phoneticPr fontId="2" type="noConversion"/>
  </si>
  <si>
    <t>[표3] 과목별 수강인원 순위별 강사</t>
    <phoneticPr fontId="2" type="noConversion"/>
  </si>
  <si>
    <t>고2</t>
    <phoneticPr fontId="2" type="noConversion"/>
  </si>
  <si>
    <t>순위</t>
    <phoneticPr fontId="2" type="noConversion"/>
  </si>
  <si>
    <t>기타</t>
    <phoneticPr fontId="2" type="noConversion"/>
  </si>
  <si>
    <t>[표2] 과목별 합계</t>
    <phoneticPr fontId="2" type="noConversion"/>
  </si>
  <si>
    <t>강의시작일</t>
  </si>
  <si>
    <t>수학</t>
    <phoneticPr fontId="2" type="noConversion"/>
  </si>
  <si>
    <t>[표1]</t>
    <phoneticPr fontId="2" type="noConversion"/>
  </si>
  <si>
    <t>강의당인원수</t>
    <phoneticPr fontId="2" type="noConversion"/>
  </si>
  <si>
    <t>[표1] 수강 등록</t>
    <phoneticPr fontId="2" type="noConversion"/>
  </si>
  <si>
    <t xml:space="preserve">오늘 날짜 : </t>
    <phoneticPr fontId="2" type="noConversion"/>
  </si>
  <si>
    <t>이름</t>
    <phoneticPr fontId="2" type="noConversion"/>
  </si>
  <si>
    <t>성별</t>
    <phoneticPr fontId="2" type="noConversion"/>
  </si>
  <si>
    <t>과목</t>
    <phoneticPr fontId="2" type="noConversion"/>
  </si>
  <si>
    <t>학년</t>
    <phoneticPr fontId="2" type="noConversion"/>
  </si>
  <si>
    <t>강의시간</t>
    <phoneticPr fontId="2" type="noConversion"/>
  </si>
  <si>
    <t>남</t>
  </si>
  <si>
    <t>영어</t>
    <phoneticPr fontId="2" type="noConversion"/>
  </si>
  <si>
    <t>총합계</t>
  </si>
  <si>
    <t>2015년</t>
  </si>
  <si>
    <t>2016년</t>
  </si>
  <si>
    <t>고1 요약</t>
  </si>
  <si>
    <t>고2 요약</t>
  </si>
  <si>
    <t>고3 요약</t>
  </si>
  <si>
    <t>평균 : 수강인원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</si>
</sst>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dd\-mmm\-yy"/>
    <numFmt numFmtId="177" formatCode="_-* #,##0.0_-;\-* #,##0.0_-;_-* &quot;-&quot;?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0" fontId="7" fillId="0" borderId="0"/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4" fillId="0" borderId="1" xfId="2" applyFont="1" applyBorder="1" applyAlignment="1">
      <alignment horizontal="center"/>
    </xf>
    <xf numFmtId="0" fontId="4" fillId="0" borderId="0" xfId="2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>
      <alignment vertical="center"/>
    </xf>
    <xf numFmtId="9" fontId="4" fillId="0" borderId="1" xfId="2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6" fillId="3" borderId="2" xfId="3" applyFont="1" applyFill="1" applyBorder="1" applyAlignment="1">
      <alignment horizontal="center"/>
    </xf>
    <xf numFmtId="0" fontId="6" fillId="0" borderId="3" xfId="3" applyFont="1" applyFill="1" applyBorder="1" applyAlignment="1">
      <alignment horizontal="center" wrapText="1"/>
    </xf>
    <xf numFmtId="176" fontId="6" fillId="0" borderId="3" xfId="3" applyNumberFormat="1" applyFont="1" applyFill="1" applyBorder="1" applyAlignment="1">
      <alignment horizontal="center" wrapText="1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">
    <cellStyle name="백분율" xfId="1" builtinId="5"/>
    <cellStyle name="표준" xfId="0" builtinId="0"/>
    <cellStyle name="표준 2" xfId="2"/>
    <cellStyle name="표준_분석작업-1" xfId="3"/>
  </cellStyles>
  <dxfs count="2">
    <dxf>
      <font>
        <b/>
        <i val="0"/>
        <color rgb="FFFF0000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/>
              <a:t>강사별 강의당인원수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수강인원</c:v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cat>
            <c:strLit>
              <c:ptCount val="10"/>
              <c:pt idx="0">
                <c:v>김인하</c:v>
              </c:pt>
              <c:pt idx="1">
                <c:v>박준혁</c:v>
              </c:pt>
              <c:pt idx="2">
                <c:v>박찬훈</c:v>
              </c:pt>
              <c:pt idx="3">
                <c:v>황성호</c:v>
              </c:pt>
              <c:pt idx="4">
                <c:v>성유희</c:v>
              </c:pt>
              <c:pt idx="5">
                <c:v>이남석</c:v>
              </c:pt>
              <c:pt idx="6">
                <c:v>이명섭</c:v>
              </c:pt>
              <c:pt idx="7">
                <c:v>진희수</c:v>
              </c:pt>
              <c:pt idx="8">
                <c:v>한우규</c:v>
              </c:pt>
              <c:pt idx="9">
                <c:v>홍길동</c:v>
              </c:pt>
            </c:strLit>
          </c:cat>
          <c:val>
            <c:numLit>
              <c:formatCode>General</c:formatCode>
              <c:ptCount val="10"/>
              <c:pt idx="0">
                <c:v>96</c:v>
              </c:pt>
              <c:pt idx="1">
                <c:v>35</c:v>
              </c:pt>
              <c:pt idx="2">
                <c:v>150</c:v>
              </c:pt>
              <c:pt idx="3">
                <c:v>142</c:v>
              </c:pt>
              <c:pt idx="4">
                <c:v>53</c:v>
              </c:pt>
              <c:pt idx="5">
                <c:v>120</c:v>
              </c:pt>
              <c:pt idx="6">
                <c:v>43</c:v>
              </c:pt>
              <c:pt idx="7">
                <c:v>62</c:v>
              </c:pt>
              <c:pt idx="8">
                <c:v>64</c:v>
              </c:pt>
              <c:pt idx="9">
                <c:v>189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89830528"/>
        <c:axId val="89832832"/>
      </c:barChart>
      <c:lineChart>
        <c:grouping val="standard"/>
        <c:varyColors val="0"/>
        <c:ser>
          <c:idx val="1"/>
          <c:order val="1"/>
          <c:tx>
            <c:v>강의당인원수</c:v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10"/>
              <c:pt idx="0">
                <c:v>김인하</c:v>
              </c:pt>
              <c:pt idx="1">
                <c:v>박준혁</c:v>
              </c:pt>
              <c:pt idx="2">
                <c:v>박찬훈</c:v>
              </c:pt>
              <c:pt idx="3">
                <c:v>황성호</c:v>
              </c:pt>
              <c:pt idx="4">
                <c:v>성유희</c:v>
              </c:pt>
              <c:pt idx="5">
                <c:v>이남석</c:v>
              </c:pt>
              <c:pt idx="6">
                <c:v>이명섭</c:v>
              </c:pt>
              <c:pt idx="7">
                <c:v>진희수</c:v>
              </c:pt>
              <c:pt idx="8">
                <c:v>한우규</c:v>
              </c:pt>
              <c:pt idx="9">
                <c:v>홍길동</c:v>
              </c:pt>
            </c:strLit>
          </c:cat>
          <c:val>
            <c:numLit>
              <c:formatCode>General</c:formatCode>
              <c:ptCount val="10"/>
              <c:pt idx="0">
                <c:v>13</c:v>
              </c:pt>
              <c:pt idx="1">
                <c:v>35</c:v>
              </c:pt>
              <c:pt idx="2">
                <c:v>25</c:v>
              </c:pt>
              <c:pt idx="3">
                <c:v>47</c:v>
              </c:pt>
              <c:pt idx="4">
                <c:v>17</c:v>
              </c:pt>
              <c:pt idx="5">
                <c:v>13</c:v>
              </c:pt>
              <c:pt idx="6">
                <c:v>21</c:v>
              </c:pt>
              <c:pt idx="7">
                <c:v>31</c:v>
              </c:pt>
              <c:pt idx="8">
                <c:v>21</c:v>
              </c:pt>
              <c:pt idx="9">
                <c:v>63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22432"/>
        <c:axId val="91908352"/>
      </c:lineChart>
      <c:catAx>
        <c:axId val="898305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9832832"/>
        <c:crosses val="autoZero"/>
        <c:auto val="1"/>
        <c:lblAlgn val="ctr"/>
        <c:lblOffset val="100"/>
        <c:noMultiLvlLbl val="0"/>
      </c:catAx>
      <c:valAx>
        <c:axId val="898328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89830528"/>
        <c:crosses val="autoZero"/>
        <c:crossBetween val="between"/>
      </c:valAx>
      <c:valAx>
        <c:axId val="91908352"/>
        <c:scaling>
          <c:orientation val="minMax"/>
          <c:max val="100"/>
        </c:scaling>
        <c:delete val="0"/>
        <c:axPos val="r"/>
        <c:numFmt formatCode="General" sourceLinked="1"/>
        <c:majorTickMark val="out"/>
        <c:minorTickMark val="none"/>
        <c:tickLblPos val="nextTo"/>
        <c:crossAx val="91922432"/>
        <c:crosses val="max"/>
        <c:crossBetween val="between"/>
        <c:majorUnit val="10"/>
      </c:valAx>
      <c:catAx>
        <c:axId val="91922432"/>
        <c:scaling>
          <c:orientation val="minMax"/>
        </c:scaling>
        <c:delete val="1"/>
        <c:axPos val="b"/>
        <c:majorTickMark val="out"/>
        <c:minorTickMark val="none"/>
        <c:tickLblPos val="none"/>
        <c:crossAx val="9190835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수강인원 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0</xdr:colOff>
      <xdr:row>20</xdr:row>
      <xdr:rowOff>19050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76200</xdr:colOff>
      <xdr:row>13</xdr:row>
      <xdr:rowOff>19050</xdr:rowOff>
    </xdr:from>
    <xdr:to>
      <xdr:col>2</xdr:col>
      <xdr:colOff>737606</xdr:colOff>
      <xdr:row>18</xdr:row>
      <xdr:rowOff>0</xdr:rowOff>
    </xdr:to>
    <xdr:pic>
      <xdr:nvPicPr>
        <xdr:cNvPr id="3" name="그림 2" descr="C:\Program Files\Microsoft Office\MEDIA\CAGCAT10\j0301252.wm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2743200"/>
          <a:ext cx="1204331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0</xdr:row>
          <xdr:rowOff>85725</xdr:rowOff>
        </xdr:from>
        <xdr:to>
          <xdr:col>7</xdr:col>
          <xdr:colOff>371475</xdr:colOff>
          <xdr:row>2</xdr:row>
          <xdr:rowOff>19050</xdr:rowOff>
        </xdr:to>
        <xdr:sp macro="" textlink="">
          <xdr:nvSpPr>
            <xdr:cNvPr id="3073" name="cmd수강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1&#44553;%20E&#54805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8.546514814814" createdVersion="4" refreshedVersion="4" minRefreshableVersion="3" recordCount="28">
  <cacheSource type="worksheet">
    <worksheetSource ref="A2:E30" sheet="분석작업-1" r:id="rId2"/>
  </cacheSource>
  <cacheFields count="5">
    <cacheField name="강의코드" numFmtId="0">
      <sharedItems count="28">
        <s v="S-15-007"/>
        <s v="S-15-013"/>
        <s v="S-16-021"/>
        <s v="S-16-022"/>
        <s v="S-16-023"/>
        <s v="S-16-024"/>
        <s v="S-16-020"/>
        <s v="S-15-011"/>
        <s v="S-15-001"/>
        <s v="S-15-002"/>
        <s v="S-15-008"/>
        <s v="S-15-015"/>
        <s v="S-15-016"/>
        <s v="S-15-017"/>
        <s v="S-15-018"/>
        <s v="S-15-019"/>
        <s v="S-15-003"/>
        <s v="S-15-004"/>
        <s v="S-15-009"/>
        <s v="S-15-006"/>
        <s v="S-15-012"/>
        <s v="S-15-010"/>
        <s v="S-15-014"/>
        <s v="S-15-005"/>
        <s v="S-16-025"/>
        <s v="S-16-026"/>
        <s v="S-16-027"/>
        <s v="S-16-028"/>
      </sharedItems>
    </cacheField>
    <cacheField name="강의시작일" numFmtId="176">
      <sharedItems containsSemiMixedTypes="0" containsNonDate="0" containsDate="1" containsString="0" minDate="2015-03-01T00:00:00" maxDate="2016-09-02T00:00:00" count="4">
        <d v="2015-03-01T00:00:00"/>
        <d v="2015-09-01T00:00:00"/>
        <d v="2016-03-01T00:00:00"/>
        <d v="2016-09-01T00:00:00"/>
      </sharedItems>
      <fieldGroup base="1">
        <rangePr groupBy="years" startDate="2015-03-01T00:00:00" endDate="2016-09-02T00:00:00"/>
        <groupItems count="4">
          <s v="&lt;2015-03-01"/>
          <s v="2015년"/>
          <s v="2016년"/>
          <s v="&gt;2016-09-02"/>
        </groupItems>
      </fieldGroup>
    </cacheField>
    <cacheField name="학년" numFmtId="0">
      <sharedItems count="3">
        <s v="고2"/>
        <s v="고1"/>
        <s v="고3"/>
      </sharedItems>
    </cacheField>
    <cacheField name="과목" numFmtId="0">
      <sharedItems count="3">
        <s v="수학"/>
        <s v="영어"/>
        <s v="국어"/>
      </sharedItems>
    </cacheField>
    <cacheField name="수강인원" numFmtId="0">
      <sharedItems containsSemiMixedTypes="0" containsString="0" containsNumber="1" containsInteger="1" minValue="15" maxValue="350" count="27">
        <n v="229"/>
        <n v="32"/>
        <n v="64"/>
        <n v="79"/>
        <n v="36"/>
        <n v="109"/>
        <n v="45"/>
        <n v="70"/>
        <n v="120"/>
        <n v="15"/>
        <n v="89"/>
        <n v="37"/>
        <n v="69"/>
        <n v="53"/>
        <n v="28"/>
        <n v="23"/>
        <n v="230"/>
        <n v="131"/>
        <n v="49"/>
        <n v="75"/>
        <n v="42"/>
        <n v="50"/>
        <n v="350"/>
        <n v="155"/>
        <n v="33"/>
        <n v="29"/>
        <n v="19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x v="0"/>
    <x v="0"/>
    <x v="0"/>
  </r>
  <r>
    <x v="1"/>
    <x v="1"/>
    <x v="1"/>
    <x v="1"/>
    <x v="1"/>
  </r>
  <r>
    <x v="2"/>
    <x v="2"/>
    <x v="2"/>
    <x v="1"/>
    <x v="2"/>
  </r>
  <r>
    <x v="3"/>
    <x v="2"/>
    <x v="2"/>
    <x v="2"/>
    <x v="3"/>
  </r>
  <r>
    <x v="4"/>
    <x v="3"/>
    <x v="2"/>
    <x v="2"/>
    <x v="4"/>
  </r>
  <r>
    <x v="5"/>
    <x v="0"/>
    <x v="2"/>
    <x v="0"/>
    <x v="5"/>
  </r>
  <r>
    <x v="6"/>
    <x v="3"/>
    <x v="2"/>
    <x v="1"/>
    <x v="6"/>
  </r>
  <r>
    <x v="7"/>
    <x v="1"/>
    <x v="0"/>
    <x v="2"/>
    <x v="7"/>
  </r>
  <r>
    <x v="8"/>
    <x v="2"/>
    <x v="1"/>
    <x v="0"/>
    <x v="8"/>
  </r>
  <r>
    <x v="9"/>
    <x v="0"/>
    <x v="2"/>
    <x v="1"/>
    <x v="9"/>
  </r>
  <r>
    <x v="10"/>
    <x v="0"/>
    <x v="2"/>
    <x v="0"/>
    <x v="10"/>
  </r>
  <r>
    <x v="11"/>
    <x v="0"/>
    <x v="1"/>
    <x v="2"/>
    <x v="11"/>
  </r>
  <r>
    <x v="12"/>
    <x v="0"/>
    <x v="0"/>
    <x v="2"/>
    <x v="12"/>
  </r>
  <r>
    <x v="13"/>
    <x v="1"/>
    <x v="2"/>
    <x v="2"/>
    <x v="13"/>
  </r>
  <r>
    <x v="14"/>
    <x v="0"/>
    <x v="0"/>
    <x v="1"/>
    <x v="14"/>
  </r>
  <r>
    <x v="15"/>
    <x v="0"/>
    <x v="2"/>
    <x v="1"/>
    <x v="15"/>
  </r>
  <r>
    <x v="16"/>
    <x v="1"/>
    <x v="1"/>
    <x v="2"/>
    <x v="16"/>
  </r>
  <r>
    <x v="17"/>
    <x v="0"/>
    <x v="2"/>
    <x v="0"/>
    <x v="17"/>
  </r>
  <r>
    <x v="18"/>
    <x v="0"/>
    <x v="2"/>
    <x v="2"/>
    <x v="18"/>
  </r>
  <r>
    <x v="19"/>
    <x v="1"/>
    <x v="0"/>
    <x v="0"/>
    <x v="19"/>
  </r>
  <r>
    <x v="20"/>
    <x v="0"/>
    <x v="1"/>
    <x v="1"/>
    <x v="20"/>
  </r>
  <r>
    <x v="21"/>
    <x v="1"/>
    <x v="2"/>
    <x v="0"/>
    <x v="21"/>
  </r>
  <r>
    <x v="22"/>
    <x v="2"/>
    <x v="2"/>
    <x v="2"/>
    <x v="22"/>
  </r>
  <r>
    <x v="23"/>
    <x v="1"/>
    <x v="0"/>
    <x v="1"/>
    <x v="23"/>
  </r>
  <r>
    <x v="24"/>
    <x v="2"/>
    <x v="2"/>
    <x v="0"/>
    <x v="24"/>
  </r>
  <r>
    <x v="25"/>
    <x v="3"/>
    <x v="2"/>
    <x v="2"/>
    <x v="25"/>
  </r>
  <r>
    <x v="26"/>
    <x v="2"/>
    <x v="0"/>
    <x v="1"/>
    <x v="11"/>
  </r>
  <r>
    <x v="27"/>
    <x v="3"/>
    <x v="0"/>
    <x v="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3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G2:L16" firstHeaderRow="1" firstDataRow="2" firstDataCol="2"/>
  <pivotFields count="5">
    <pivotField compact="0" subtotalTop="0" showAll="0"/>
    <pivotField axis="axisRow" compact="0" numFmtId="176" subtotalTop="0" showAll="0">
      <items count="5">
        <item x="0"/>
        <item x="1"/>
        <item x="2"/>
        <item x="3"/>
        <item t="default"/>
      </items>
    </pivotField>
    <pivotField axis="axisRow" compact="0" subtotalTop="0" showAll="0">
      <items count="4">
        <item x="1"/>
        <item x="0"/>
        <item x="2"/>
        <item t="default"/>
      </items>
    </pivotField>
    <pivotField axis="axisCol" compact="0" subtotalTop="0" showAll="0">
      <items count="4">
        <item x="2"/>
        <item x="0"/>
        <item x="1"/>
        <item t="default"/>
      </items>
    </pivotField>
    <pivotField dataField="1" compact="0" subtotalTop="0" showAll="0"/>
  </pivotFields>
  <rowFields count="2">
    <field x="2"/>
    <field x="1"/>
  </rowFields>
  <rowItems count="13">
    <i>
      <x/>
    </i>
    <i r="1">
      <x v="1"/>
    </i>
    <i r="1">
      <x v="2"/>
    </i>
    <i t="default">
      <x/>
    </i>
    <i>
      <x v="1"/>
    </i>
    <i r="1">
      <x v="1"/>
    </i>
    <i r="1">
      <x v="2"/>
    </i>
    <i t="default">
      <x v="1"/>
    </i>
    <i>
      <x v="2"/>
    </i>
    <i r="1">
      <x v="1"/>
    </i>
    <i r="1">
      <x v="2"/>
    </i>
    <i t="default">
      <x v="2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평균 : 수강인원" fld="4" subtotal="average" baseField="2" baseItem="2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강의코드" tableColumnId="1"/>
      <queryTableField id="2" name="강의시작일" tableColumnId="2"/>
      <queryTableField id="3" name="학년" tableColumnId="3"/>
      <queryTableField id="4" name="과목" tableColumnId="4"/>
      <queryTableField id="5" name="수강료할인율" tableColumnId="5"/>
      <queryTableField id="6" name="수강인원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B2:G7" tableType="queryTable" totalsRowShown="0">
  <autoFilter ref="B2:G7"/>
  <tableColumns count="6">
    <tableColumn id="1" uniqueName="1" name="강의코드" queryTableFieldId="1"/>
    <tableColumn id="2" uniqueName="2" name="강의시작일" queryTableFieldId="2" dataDxfId="1"/>
    <tableColumn id="3" uniqueName="3" name="학년" queryTableFieldId="3"/>
    <tableColumn id="4" uniqueName="4" name="과목" queryTableFieldId="4"/>
    <tableColumn id="5" uniqueName="5" name="수강료할인율" queryTableFieldId="5"/>
    <tableColumn id="6" uniqueName="6" name="수강인원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7"/>
  <sheetViews>
    <sheetView tabSelected="1" workbookViewId="0"/>
  </sheetViews>
  <sheetFormatPr defaultRowHeight="16.5"/>
  <cols>
    <col min="1" max="1" width="5.125" customWidth="1"/>
    <col min="2" max="2" width="11.25" bestFit="1" customWidth="1"/>
    <col min="3" max="3" width="15.5" bestFit="1" customWidth="1"/>
    <col min="4" max="5" width="7.5" bestFit="1" customWidth="1"/>
    <col min="6" max="6" width="15.25" bestFit="1" customWidth="1"/>
    <col min="7" max="7" width="11.25" bestFit="1" customWidth="1"/>
  </cols>
  <sheetData>
    <row r="2" spans="2:7">
      <c r="B2" t="s">
        <v>1</v>
      </c>
      <c r="C2" t="s">
        <v>153</v>
      </c>
      <c r="D2" t="s">
        <v>4</v>
      </c>
      <c r="E2" t="s">
        <v>5</v>
      </c>
      <c r="F2" t="s">
        <v>6</v>
      </c>
      <c r="G2" t="s">
        <v>8</v>
      </c>
    </row>
    <row r="3" spans="2:7">
      <c r="B3" t="s">
        <v>41</v>
      </c>
      <c r="C3" s="25">
        <v>42248</v>
      </c>
      <c r="D3" t="s">
        <v>16</v>
      </c>
      <c r="E3" t="s">
        <v>23</v>
      </c>
      <c r="F3">
        <v>0.25</v>
      </c>
      <c r="G3">
        <v>230</v>
      </c>
    </row>
    <row r="4" spans="2:7">
      <c r="B4" t="s">
        <v>10</v>
      </c>
      <c r="C4" s="25">
        <v>42064</v>
      </c>
      <c r="D4" t="s">
        <v>12</v>
      </c>
      <c r="E4" t="s">
        <v>13</v>
      </c>
      <c r="F4">
        <v>0.2</v>
      </c>
      <c r="G4">
        <v>229</v>
      </c>
    </row>
    <row r="5" spans="2:7">
      <c r="B5" t="s">
        <v>42</v>
      </c>
      <c r="C5" s="25">
        <v>42064</v>
      </c>
      <c r="D5" t="s">
        <v>20</v>
      </c>
      <c r="E5" t="s">
        <v>13</v>
      </c>
      <c r="F5">
        <v>0.1</v>
      </c>
      <c r="G5">
        <v>131</v>
      </c>
    </row>
    <row r="6" spans="2:7">
      <c r="B6" t="s">
        <v>26</v>
      </c>
      <c r="C6" s="25">
        <v>42064</v>
      </c>
      <c r="D6" t="s">
        <v>20</v>
      </c>
      <c r="E6" t="s">
        <v>13</v>
      </c>
      <c r="F6">
        <v>0.1</v>
      </c>
      <c r="G6">
        <v>109</v>
      </c>
    </row>
    <row r="7" spans="2:7">
      <c r="B7" t="s">
        <v>51</v>
      </c>
      <c r="C7" s="25">
        <v>42248</v>
      </c>
      <c r="D7" t="s">
        <v>12</v>
      </c>
      <c r="E7" t="s">
        <v>17</v>
      </c>
      <c r="F7">
        <v>0.1</v>
      </c>
      <c r="G7">
        <v>155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"/>
  <sheetViews>
    <sheetView workbookViewId="0"/>
  </sheetViews>
  <sheetFormatPr defaultRowHeight="16.5"/>
  <cols>
    <col min="1" max="1" width="10.25" customWidth="1"/>
    <col min="2" max="2" width="14.25" customWidth="1"/>
    <col min="6" max="6" width="13" bestFit="1" customWidth="1"/>
    <col min="7" max="7" width="12.625" customWidth="1"/>
    <col min="8" max="8" width="10.25" customWidth="1"/>
    <col min="9" max="9" width="11" bestFit="1" customWidth="1"/>
  </cols>
  <sheetData>
    <row r="1" spans="1:9">
      <c r="A1" t="s">
        <v>0</v>
      </c>
    </row>
    <row r="2" spans="1:9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1:9">
      <c r="A3" s="1" t="s">
        <v>10</v>
      </c>
      <c r="B3" s="2">
        <v>42064</v>
      </c>
      <c r="C3" s="1" t="s">
        <v>11</v>
      </c>
      <c r="D3" s="1" t="s">
        <v>12</v>
      </c>
      <c r="E3" s="1" t="s">
        <v>13</v>
      </c>
      <c r="F3" s="3">
        <v>0.2</v>
      </c>
      <c r="G3" s="4">
        <v>6</v>
      </c>
      <c r="H3" s="4">
        <v>229</v>
      </c>
      <c r="I3" s="4">
        <v>5</v>
      </c>
    </row>
    <row r="4" spans="1:9">
      <c r="A4" s="1" t="s">
        <v>14</v>
      </c>
      <c r="B4" s="2">
        <v>42248</v>
      </c>
      <c r="C4" s="1" t="s">
        <v>15</v>
      </c>
      <c r="D4" s="1" t="s">
        <v>16</v>
      </c>
      <c r="E4" s="1" t="s">
        <v>17</v>
      </c>
      <c r="F4" s="3">
        <v>0.15</v>
      </c>
      <c r="G4" s="4">
        <v>2</v>
      </c>
      <c r="H4" s="4">
        <v>32</v>
      </c>
      <c r="I4" s="4">
        <v>5</v>
      </c>
    </row>
    <row r="5" spans="1:9">
      <c r="A5" s="1" t="s">
        <v>18</v>
      </c>
      <c r="B5" s="2">
        <v>42430</v>
      </c>
      <c r="C5" s="1" t="s">
        <v>19</v>
      </c>
      <c r="D5" s="1" t="s">
        <v>20</v>
      </c>
      <c r="E5" s="1" t="s">
        <v>17</v>
      </c>
      <c r="F5" s="3">
        <v>0.05</v>
      </c>
      <c r="G5" s="4">
        <v>4</v>
      </c>
      <c r="H5" s="4">
        <v>64</v>
      </c>
      <c r="I5" s="4">
        <v>5</v>
      </c>
    </row>
    <row r="6" spans="1:9">
      <c r="A6" s="1" t="s">
        <v>21</v>
      </c>
      <c r="B6" s="2">
        <v>42430</v>
      </c>
      <c r="C6" s="1" t="s">
        <v>22</v>
      </c>
      <c r="D6" s="1" t="s">
        <v>20</v>
      </c>
      <c r="E6" s="1" t="s">
        <v>23</v>
      </c>
      <c r="F6" s="3">
        <v>0.1</v>
      </c>
      <c r="G6" s="4">
        <v>4</v>
      </c>
      <c r="H6" s="4">
        <v>79</v>
      </c>
      <c r="I6" s="4">
        <v>5</v>
      </c>
    </row>
    <row r="7" spans="1:9">
      <c r="A7" s="1" t="s">
        <v>24</v>
      </c>
      <c r="B7" s="2">
        <v>42614</v>
      </c>
      <c r="C7" s="1" t="s">
        <v>25</v>
      </c>
      <c r="D7" s="1" t="s">
        <v>20</v>
      </c>
      <c r="E7" s="1" t="s">
        <v>23</v>
      </c>
      <c r="F7" s="3">
        <v>0.1</v>
      </c>
      <c r="G7" s="4">
        <v>3</v>
      </c>
      <c r="H7" s="4">
        <v>36</v>
      </c>
      <c r="I7" s="4">
        <v>3</v>
      </c>
    </row>
    <row r="8" spans="1:9">
      <c r="A8" s="1" t="s">
        <v>26</v>
      </c>
      <c r="B8" s="2">
        <v>42064</v>
      </c>
      <c r="C8" s="1" t="s">
        <v>27</v>
      </c>
      <c r="D8" s="1" t="s">
        <v>20</v>
      </c>
      <c r="E8" s="1" t="s">
        <v>13</v>
      </c>
      <c r="F8" s="3">
        <v>0.1</v>
      </c>
      <c r="G8" s="4">
        <v>6</v>
      </c>
      <c r="H8" s="4">
        <v>109</v>
      </c>
      <c r="I8" s="4">
        <v>5</v>
      </c>
    </row>
    <row r="9" spans="1:9">
      <c r="A9" s="1" t="s">
        <v>28</v>
      </c>
      <c r="B9" s="2">
        <v>42614</v>
      </c>
      <c r="C9" s="1" t="s">
        <v>15</v>
      </c>
      <c r="D9" s="1" t="s">
        <v>20</v>
      </c>
      <c r="E9" s="1" t="s">
        <v>17</v>
      </c>
      <c r="F9" s="3">
        <v>0.05</v>
      </c>
      <c r="G9" s="4">
        <v>5</v>
      </c>
      <c r="H9" s="4">
        <v>45</v>
      </c>
      <c r="I9" s="4">
        <v>4</v>
      </c>
    </row>
    <row r="10" spans="1:9">
      <c r="A10" s="1" t="s">
        <v>29</v>
      </c>
      <c r="B10" s="2">
        <v>42248</v>
      </c>
      <c r="C10" s="1" t="s">
        <v>30</v>
      </c>
      <c r="D10" s="1" t="s">
        <v>12</v>
      </c>
      <c r="E10" s="1" t="s">
        <v>23</v>
      </c>
      <c r="F10" s="3">
        <v>0.2</v>
      </c>
      <c r="G10" s="4">
        <v>4</v>
      </c>
      <c r="H10" s="4">
        <v>70</v>
      </c>
      <c r="I10" s="4">
        <v>3</v>
      </c>
    </row>
    <row r="11" spans="1:9">
      <c r="A11" s="1" t="s">
        <v>31</v>
      </c>
      <c r="B11" s="2">
        <v>42430</v>
      </c>
      <c r="C11" s="1" t="s">
        <v>32</v>
      </c>
      <c r="D11" s="1" t="s">
        <v>16</v>
      </c>
      <c r="E11" s="1" t="s">
        <v>13</v>
      </c>
      <c r="F11" s="3">
        <v>0.25</v>
      </c>
      <c r="G11" s="4">
        <v>6</v>
      </c>
      <c r="H11" s="4">
        <v>120</v>
      </c>
      <c r="I11" s="4">
        <v>8</v>
      </c>
    </row>
    <row r="12" spans="1:9">
      <c r="A12" s="1" t="s">
        <v>33</v>
      </c>
      <c r="B12" s="2">
        <v>42064</v>
      </c>
      <c r="C12" s="1" t="s">
        <v>15</v>
      </c>
      <c r="D12" s="1" t="s">
        <v>20</v>
      </c>
      <c r="E12" s="1" t="s">
        <v>17</v>
      </c>
      <c r="F12" s="3">
        <v>0.05</v>
      </c>
      <c r="G12" s="4">
        <v>1</v>
      </c>
      <c r="H12" s="4">
        <v>15</v>
      </c>
      <c r="I12" s="4"/>
    </row>
    <row r="13" spans="1:9">
      <c r="A13" s="1" t="s">
        <v>34</v>
      </c>
      <c r="B13" s="2">
        <v>42064</v>
      </c>
      <c r="C13" s="1" t="s">
        <v>27</v>
      </c>
      <c r="D13" s="1" t="s">
        <v>20</v>
      </c>
      <c r="E13" s="1" t="s">
        <v>13</v>
      </c>
      <c r="F13" s="3">
        <v>0.1</v>
      </c>
      <c r="G13" s="4">
        <v>5</v>
      </c>
      <c r="H13" s="4">
        <v>89</v>
      </c>
      <c r="I13" s="4">
        <v>7</v>
      </c>
    </row>
    <row r="14" spans="1:9">
      <c r="A14" s="1" t="s">
        <v>35</v>
      </c>
      <c r="B14" s="2">
        <v>42064</v>
      </c>
      <c r="C14" s="1" t="s">
        <v>30</v>
      </c>
      <c r="D14" s="1" t="s">
        <v>16</v>
      </c>
      <c r="E14" s="1" t="s">
        <v>23</v>
      </c>
      <c r="F14" s="3">
        <v>0.25</v>
      </c>
      <c r="G14" s="4">
        <v>2</v>
      </c>
      <c r="H14" s="4">
        <v>37</v>
      </c>
      <c r="I14" s="4">
        <v>2</v>
      </c>
    </row>
    <row r="15" spans="1:9">
      <c r="A15" s="1" t="s">
        <v>36</v>
      </c>
      <c r="B15" s="2">
        <v>42064</v>
      </c>
      <c r="C15" s="1" t="s">
        <v>25</v>
      </c>
      <c r="D15" s="1" t="s">
        <v>12</v>
      </c>
      <c r="E15" s="1" t="s">
        <v>23</v>
      </c>
      <c r="F15" s="3">
        <v>0.2</v>
      </c>
      <c r="G15" s="4">
        <v>3</v>
      </c>
      <c r="H15" s="4">
        <v>69</v>
      </c>
      <c r="I15" s="4">
        <v>9</v>
      </c>
    </row>
    <row r="16" spans="1:9">
      <c r="A16" s="1" t="s">
        <v>37</v>
      </c>
      <c r="B16" s="2">
        <v>42248</v>
      </c>
      <c r="C16" s="1" t="s">
        <v>25</v>
      </c>
      <c r="D16" s="1" t="s">
        <v>20</v>
      </c>
      <c r="E16" s="1" t="s">
        <v>23</v>
      </c>
      <c r="F16" s="3">
        <v>0.1</v>
      </c>
      <c r="G16" s="4">
        <v>5</v>
      </c>
      <c r="H16" s="4">
        <v>53</v>
      </c>
      <c r="I16" s="4">
        <v>5</v>
      </c>
    </row>
    <row r="17" spans="1:10">
      <c r="A17" s="1" t="s">
        <v>38</v>
      </c>
      <c r="B17" s="2">
        <v>42064</v>
      </c>
      <c r="C17" s="1" t="s">
        <v>39</v>
      </c>
      <c r="D17" s="1" t="s">
        <v>12</v>
      </c>
      <c r="E17" s="1" t="s">
        <v>17</v>
      </c>
      <c r="F17" s="3">
        <v>0.1</v>
      </c>
      <c r="G17" s="4">
        <v>1</v>
      </c>
      <c r="H17" s="4">
        <v>28</v>
      </c>
      <c r="I17" s="4">
        <v>8</v>
      </c>
    </row>
    <row r="18" spans="1:10">
      <c r="A18" s="1" t="s">
        <v>40</v>
      </c>
      <c r="B18" s="2">
        <v>42064</v>
      </c>
      <c r="C18" s="1" t="s">
        <v>19</v>
      </c>
      <c r="D18" s="1" t="s">
        <v>20</v>
      </c>
      <c r="E18" s="1" t="s">
        <v>17</v>
      </c>
      <c r="F18" s="3">
        <v>0.05</v>
      </c>
      <c r="G18" s="4">
        <v>1</v>
      </c>
      <c r="H18" s="4">
        <v>23</v>
      </c>
      <c r="I18" s="4"/>
    </row>
    <row r="19" spans="1:10">
      <c r="A19" s="1" t="s">
        <v>41</v>
      </c>
      <c r="B19" s="2">
        <v>42248</v>
      </c>
      <c r="C19" s="1" t="s">
        <v>27</v>
      </c>
      <c r="D19" s="1" t="s">
        <v>16</v>
      </c>
      <c r="E19" s="1" t="s">
        <v>23</v>
      </c>
      <c r="F19" s="3">
        <v>0.25</v>
      </c>
      <c r="G19" s="4">
        <v>4</v>
      </c>
      <c r="H19" s="4">
        <v>230</v>
      </c>
      <c r="I19" s="4">
        <v>3</v>
      </c>
    </row>
    <row r="20" spans="1:10">
      <c r="A20" s="1" t="s">
        <v>42</v>
      </c>
      <c r="B20" s="2">
        <v>42064</v>
      </c>
      <c r="C20" s="1" t="s">
        <v>11</v>
      </c>
      <c r="D20" s="1" t="s">
        <v>20</v>
      </c>
      <c r="E20" s="1" t="s">
        <v>13</v>
      </c>
      <c r="F20" s="3">
        <v>0.1</v>
      </c>
      <c r="G20" s="4">
        <v>8</v>
      </c>
      <c r="H20" s="4">
        <v>131</v>
      </c>
      <c r="I20" s="4">
        <v>9</v>
      </c>
    </row>
    <row r="21" spans="1:10">
      <c r="A21" s="1" t="s">
        <v>43</v>
      </c>
      <c r="B21" s="2">
        <v>42064</v>
      </c>
      <c r="C21" s="1" t="s">
        <v>22</v>
      </c>
      <c r="D21" s="1" t="s">
        <v>20</v>
      </c>
      <c r="E21" s="1" t="s">
        <v>23</v>
      </c>
      <c r="F21" s="3">
        <v>0.1</v>
      </c>
      <c r="G21" s="4">
        <v>3</v>
      </c>
      <c r="H21" s="4">
        <v>49</v>
      </c>
      <c r="I21" s="4">
        <v>5</v>
      </c>
    </row>
    <row r="22" spans="1:10">
      <c r="A22" s="1" t="s">
        <v>44</v>
      </c>
      <c r="B22" s="2">
        <v>42248</v>
      </c>
      <c r="C22" s="1" t="s">
        <v>45</v>
      </c>
      <c r="D22" s="1" t="s">
        <v>12</v>
      </c>
      <c r="E22" s="1" t="s">
        <v>13</v>
      </c>
      <c r="F22" s="3">
        <v>0.2</v>
      </c>
      <c r="G22" s="4">
        <v>5</v>
      </c>
      <c r="H22" s="4">
        <v>75</v>
      </c>
      <c r="I22" s="4">
        <v>6</v>
      </c>
    </row>
    <row r="23" spans="1:10">
      <c r="A23" s="1" t="s">
        <v>46</v>
      </c>
      <c r="B23" s="2">
        <v>42064</v>
      </c>
      <c r="C23" s="1" t="s">
        <v>47</v>
      </c>
      <c r="D23" s="1" t="s">
        <v>16</v>
      </c>
      <c r="E23" s="1" t="s">
        <v>17</v>
      </c>
      <c r="F23" s="3">
        <v>0.15</v>
      </c>
      <c r="G23" s="4">
        <v>3</v>
      </c>
      <c r="H23" s="4">
        <v>42</v>
      </c>
      <c r="I23" s="4">
        <v>6</v>
      </c>
    </row>
    <row r="24" spans="1:10">
      <c r="A24" s="1" t="s">
        <v>48</v>
      </c>
      <c r="B24" s="2">
        <v>42248</v>
      </c>
      <c r="C24" s="1" t="s">
        <v>45</v>
      </c>
      <c r="D24" s="1" t="s">
        <v>20</v>
      </c>
      <c r="E24" s="1" t="s">
        <v>13</v>
      </c>
      <c r="F24" s="3">
        <v>0.1</v>
      </c>
      <c r="G24" s="4">
        <v>2</v>
      </c>
      <c r="H24" s="4">
        <v>50</v>
      </c>
      <c r="I24" s="4"/>
    </row>
    <row r="25" spans="1:10">
      <c r="A25" s="1" t="s">
        <v>49</v>
      </c>
      <c r="B25" s="2">
        <v>42430</v>
      </c>
      <c r="C25" s="1" t="s">
        <v>50</v>
      </c>
      <c r="D25" s="1" t="s">
        <v>20</v>
      </c>
      <c r="E25" s="1" t="s">
        <v>23</v>
      </c>
      <c r="F25" s="3">
        <v>0.1</v>
      </c>
      <c r="G25" s="4">
        <v>6</v>
      </c>
      <c r="H25" s="4">
        <v>350</v>
      </c>
      <c r="I25" s="4">
        <v>5</v>
      </c>
    </row>
    <row r="26" spans="1:10">
      <c r="A26" s="1" t="s">
        <v>51</v>
      </c>
      <c r="B26" s="2">
        <v>42248</v>
      </c>
      <c r="C26" s="1" t="s">
        <v>52</v>
      </c>
      <c r="D26" s="1" t="s">
        <v>12</v>
      </c>
      <c r="E26" s="1" t="s">
        <v>17</v>
      </c>
      <c r="F26" s="3">
        <v>0.1</v>
      </c>
      <c r="G26" s="4">
        <v>5</v>
      </c>
      <c r="H26" s="4">
        <v>155</v>
      </c>
      <c r="I26" s="4">
        <v>7</v>
      </c>
    </row>
    <row r="27" spans="1:10">
      <c r="A27" s="1" t="s">
        <v>53</v>
      </c>
      <c r="B27" s="2">
        <v>42430</v>
      </c>
      <c r="C27" s="1" t="s">
        <v>45</v>
      </c>
      <c r="D27" s="1" t="s">
        <v>20</v>
      </c>
      <c r="E27" s="1" t="s">
        <v>13</v>
      </c>
      <c r="F27" s="3">
        <v>0.1</v>
      </c>
      <c r="G27" s="4">
        <v>2</v>
      </c>
      <c r="H27" s="4">
        <v>33</v>
      </c>
      <c r="I27" s="4">
        <v>5</v>
      </c>
    </row>
    <row r="28" spans="1:10">
      <c r="A28" s="1" t="s">
        <v>54</v>
      </c>
      <c r="B28" s="2">
        <v>42614</v>
      </c>
      <c r="C28" s="1" t="s">
        <v>50</v>
      </c>
      <c r="D28" s="1" t="s">
        <v>20</v>
      </c>
      <c r="E28" s="1" t="s">
        <v>23</v>
      </c>
      <c r="F28" s="3">
        <v>0.1</v>
      </c>
      <c r="G28" s="4">
        <v>1</v>
      </c>
      <c r="H28" s="4">
        <v>29</v>
      </c>
      <c r="I28" s="4">
        <v>4</v>
      </c>
    </row>
    <row r="29" spans="1:10">
      <c r="A29" s="1" t="s">
        <v>55</v>
      </c>
      <c r="B29" s="2">
        <v>42430</v>
      </c>
      <c r="C29" s="1" t="s">
        <v>52</v>
      </c>
      <c r="D29" s="1" t="s">
        <v>12</v>
      </c>
      <c r="E29" s="1" t="s">
        <v>17</v>
      </c>
      <c r="F29" s="3">
        <v>0.1</v>
      </c>
      <c r="G29" s="4">
        <v>5</v>
      </c>
      <c r="H29" s="4">
        <v>37</v>
      </c>
      <c r="I29" s="4">
        <v>6</v>
      </c>
    </row>
    <row r="30" spans="1:10">
      <c r="A30" s="1" t="s">
        <v>56</v>
      </c>
      <c r="B30" s="2">
        <v>42614</v>
      </c>
      <c r="C30" s="1" t="s">
        <v>45</v>
      </c>
      <c r="D30" s="1" t="s">
        <v>12</v>
      </c>
      <c r="E30" s="1" t="s">
        <v>13</v>
      </c>
      <c r="F30" s="3">
        <v>0.2</v>
      </c>
      <c r="G30" s="4">
        <v>6</v>
      </c>
      <c r="H30" s="4">
        <v>199</v>
      </c>
      <c r="I30" s="4">
        <v>7</v>
      </c>
    </row>
    <row r="32" spans="1:10">
      <c r="A32" s="5" t="s">
        <v>57</v>
      </c>
      <c r="B32" s="5"/>
      <c r="C32" s="5"/>
      <c r="D32" s="5"/>
      <c r="E32" s="5"/>
      <c r="F32" s="6"/>
      <c r="G32" s="7"/>
      <c r="H32" s="7"/>
      <c r="I32" s="7"/>
      <c r="J32" s="7"/>
    </row>
    <row r="33" spans="1:13">
      <c r="A33" s="8" t="b">
        <f>AND(YEAR(B3)=2015,G3&gt;=PERCENTILE($G$3:$G$30,70%))</f>
        <v>1</v>
      </c>
      <c r="B33" s="5"/>
      <c r="C33" s="5"/>
      <c r="D33" s="5"/>
      <c r="E33" s="5"/>
      <c r="F33" s="6"/>
      <c r="G33" s="7"/>
      <c r="H33" s="7"/>
      <c r="I33" s="7"/>
      <c r="J33" s="7"/>
    </row>
    <row r="34" spans="1:13">
      <c r="A34" s="5"/>
      <c r="B34" s="5"/>
      <c r="C34" s="5"/>
      <c r="D34" s="5"/>
      <c r="E34" s="5"/>
      <c r="F34" s="6"/>
      <c r="G34" s="7"/>
      <c r="H34" s="7"/>
      <c r="I34" s="7"/>
      <c r="J34" s="7"/>
    </row>
    <row r="35" spans="1:13">
      <c r="A35" s="1" t="s">
        <v>1</v>
      </c>
      <c r="B35" s="1" t="s">
        <v>2</v>
      </c>
      <c r="C35" s="1" t="s">
        <v>3</v>
      </c>
      <c r="D35" s="1" t="s">
        <v>4</v>
      </c>
      <c r="E35" s="1" t="s">
        <v>5</v>
      </c>
      <c r="F35" s="1" t="s">
        <v>6</v>
      </c>
      <c r="G35" s="1" t="s">
        <v>7</v>
      </c>
      <c r="H35" s="1" t="s">
        <v>8</v>
      </c>
      <c r="I35" s="1" t="s">
        <v>9</v>
      </c>
      <c r="J35" s="7"/>
    </row>
    <row r="36" spans="1:13">
      <c r="A36" s="1" t="s">
        <v>10</v>
      </c>
      <c r="B36" s="2">
        <v>42064</v>
      </c>
      <c r="C36" s="1" t="s">
        <v>11</v>
      </c>
      <c r="D36" s="1" t="s">
        <v>12</v>
      </c>
      <c r="E36" s="1" t="s">
        <v>13</v>
      </c>
      <c r="F36" s="3">
        <v>0.2</v>
      </c>
      <c r="G36" s="4">
        <v>6</v>
      </c>
      <c r="H36" s="4">
        <v>229</v>
      </c>
      <c r="I36" s="4">
        <v>5</v>
      </c>
      <c r="J36" s="7"/>
    </row>
    <row r="37" spans="1:13">
      <c r="A37" s="1" t="s">
        <v>26</v>
      </c>
      <c r="B37" s="2">
        <v>42064</v>
      </c>
      <c r="C37" s="1" t="s">
        <v>27</v>
      </c>
      <c r="D37" s="1" t="s">
        <v>20</v>
      </c>
      <c r="E37" s="1" t="s">
        <v>13</v>
      </c>
      <c r="F37" s="3">
        <v>0.1</v>
      </c>
      <c r="G37" s="4">
        <v>6</v>
      </c>
      <c r="H37" s="4">
        <v>109</v>
      </c>
      <c r="I37" s="4">
        <v>5</v>
      </c>
      <c r="J37" s="5"/>
      <c r="K37" s="7"/>
    </row>
    <row r="38" spans="1:13">
      <c r="A38" s="1" t="s">
        <v>34</v>
      </c>
      <c r="B38" s="2">
        <v>42064</v>
      </c>
      <c r="C38" s="1" t="s">
        <v>27</v>
      </c>
      <c r="D38" s="1" t="s">
        <v>20</v>
      </c>
      <c r="E38" s="1" t="s">
        <v>13</v>
      </c>
      <c r="F38" s="3">
        <v>0.1</v>
      </c>
      <c r="G38" s="4">
        <v>5</v>
      </c>
      <c r="H38" s="4">
        <v>89</v>
      </c>
      <c r="I38" s="4">
        <v>7</v>
      </c>
      <c r="K38" s="5"/>
      <c r="L38" s="7"/>
    </row>
    <row r="39" spans="1:13">
      <c r="A39" s="1" t="s">
        <v>37</v>
      </c>
      <c r="B39" s="2">
        <v>42248</v>
      </c>
      <c r="C39" s="1" t="s">
        <v>25</v>
      </c>
      <c r="D39" s="1" t="s">
        <v>20</v>
      </c>
      <c r="E39" s="1" t="s">
        <v>23</v>
      </c>
      <c r="F39" s="3">
        <v>0.1</v>
      </c>
      <c r="G39" s="4">
        <v>5</v>
      </c>
      <c r="H39" s="4">
        <v>53</v>
      </c>
      <c r="I39" s="4">
        <v>5</v>
      </c>
      <c r="L39" s="5"/>
      <c r="M39" s="7"/>
    </row>
    <row r="40" spans="1:13">
      <c r="A40" s="1" t="s">
        <v>42</v>
      </c>
      <c r="B40" s="2">
        <v>42064</v>
      </c>
      <c r="C40" s="1" t="s">
        <v>11</v>
      </c>
      <c r="D40" s="1" t="s">
        <v>20</v>
      </c>
      <c r="E40" s="1" t="s">
        <v>13</v>
      </c>
      <c r="F40" s="3">
        <v>0.1</v>
      </c>
      <c r="G40" s="4">
        <v>8</v>
      </c>
      <c r="H40" s="4">
        <v>131</v>
      </c>
      <c r="I40" s="4">
        <v>9</v>
      </c>
      <c r="L40" s="5"/>
      <c r="M40" s="7"/>
    </row>
    <row r="41" spans="1:13">
      <c r="A41" s="1" t="s">
        <v>44</v>
      </c>
      <c r="B41" s="2">
        <v>42248</v>
      </c>
      <c r="C41" s="1" t="s">
        <v>45</v>
      </c>
      <c r="D41" s="1" t="s">
        <v>12</v>
      </c>
      <c r="E41" s="1" t="s">
        <v>13</v>
      </c>
      <c r="F41" s="3">
        <v>0.2</v>
      </c>
      <c r="G41" s="4">
        <v>5</v>
      </c>
      <c r="H41" s="4">
        <v>75</v>
      </c>
      <c r="I41" s="4">
        <v>6</v>
      </c>
      <c r="L41" s="5"/>
      <c r="M41" s="7"/>
    </row>
    <row r="42" spans="1:13">
      <c r="A42" s="1" t="s">
        <v>51</v>
      </c>
      <c r="B42" s="2">
        <v>42248</v>
      </c>
      <c r="C42" s="1" t="s">
        <v>52</v>
      </c>
      <c r="D42" s="1" t="s">
        <v>12</v>
      </c>
      <c r="E42" s="1" t="s">
        <v>17</v>
      </c>
      <c r="F42" s="3">
        <v>0.1</v>
      </c>
      <c r="G42" s="4">
        <v>5</v>
      </c>
      <c r="H42" s="4">
        <v>155</v>
      </c>
      <c r="I42" s="4">
        <v>7</v>
      </c>
      <c r="L42" s="5"/>
      <c r="M42" s="7"/>
    </row>
    <row r="43" spans="1:13">
      <c r="L43" s="5"/>
      <c r="M43" s="7"/>
    </row>
    <row r="44" spans="1:13">
      <c r="L44" s="5"/>
      <c r="M44" s="7"/>
    </row>
    <row r="45" spans="1:13">
      <c r="L45" s="5"/>
      <c r="M45" s="7"/>
    </row>
    <row r="46" spans="1:13">
      <c r="L46" s="5"/>
      <c r="M46" s="7"/>
    </row>
    <row r="47" spans="1:13">
      <c r="L47" s="5"/>
      <c r="M47" s="7"/>
    </row>
  </sheetData>
  <phoneticPr fontId="2" type="noConversion"/>
  <conditionalFormatting sqref="A3:I30">
    <cfRule type="expression" dxfId="0" priority="1">
      <formula>VALUE("20"&amp;MID($A3,3,2))&lt;&gt;YEAR($B3)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58"/>
  <sheetViews>
    <sheetView workbookViewId="0"/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58</v>
      </c>
    </row>
    <row r="2" spans="2:13">
      <c r="B2" s="1" t="s">
        <v>59</v>
      </c>
      <c r="C2" s="9" t="s">
        <v>60</v>
      </c>
      <c r="D2" s="1" t="s">
        <v>61</v>
      </c>
      <c r="E2" s="1" t="s">
        <v>62</v>
      </c>
      <c r="F2" s="1" t="s">
        <v>63</v>
      </c>
      <c r="G2" s="1" t="s">
        <v>64</v>
      </c>
      <c r="H2" s="9" t="s">
        <v>65</v>
      </c>
      <c r="I2" s="1" t="s">
        <v>66</v>
      </c>
      <c r="J2" s="1" t="s">
        <v>67</v>
      </c>
      <c r="K2" s="1" t="s">
        <v>68</v>
      </c>
      <c r="L2" s="9" t="s">
        <v>69</v>
      </c>
      <c r="M2" s="9" t="s">
        <v>70</v>
      </c>
    </row>
    <row r="3" spans="2:13">
      <c r="B3" s="1" t="s">
        <v>71</v>
      </c>
      <c r="C3" s="10" t="str">
        <f>REPLACE(B3,2,0,"-"&amp;RIGHT(D3,2)&amp;"-")</f>
        <v>S-15-001</v>
      </c>
      <c r="D3" s="10">
        <v>2015</v>
      </c>
      <c r="E3" s="1" t="s">
        <v>72</v>
      </c>
      <c r="F3" s="1" t="s">
        <v>73</v>
      </c>
      <c r="G3" s="1" t="s">
        <v>74</v>
      </c>
      <c r="H3" s="11">
        <f>HLOOKUP(F3,$C$33:$E$35,MATCH(G3,{"영어","수학"},-1)+1)</f>
        <v>0.25</v>
      </c>
      <c r="I3" s="12">
        <v>6</v>
      </c>
      <c r="J3" s="12">
        <v>120</v>
      </c>
      <c r="K3" s="12">
        <v>8</v>
      </c>
      <c r="L3" s="12" t="str">
        <f>IFERROR(REPT("■",(I3/K3)*10)&amp;TEXT(I3/K3,"0.0%"),"신생강의")</f>
        <v>■■■■■■■75.0%</v>
      </c>
      <c r="M3" s="13" t="str">
        <f>fn비고(I3,J3)</f>
        <v/>
      </c>
    </row>
    <row r="4" spans="2:13">
      <c r="B4" s="1" t="s">
        <v>75</v>
      </c>
      <c r="C4" s="10" t="str">
        <f t="shared" ref="C4:C30" si="0">REPLACE(B4,2,0,"-"&amp;RIGHT(D4,2)&amp;"-")</f>
        <v>S-15-002</v>
      </c>
      <c r="D4" s="1">
        <v>2015</v>
      </c>
      <c r="E4" s="1" t="s">
        <v>15</v>
      </c>
      <c r="F4" s="1" t="s">
        <v>76</v>
      </c>
      <c r="G4" s="1" t="s">
        <v>77</v>
      </c>
      <c r="H4" s="11">
        <f>HLOOKUP(F4,$C$33:$E$35,MATCH(G4,{"영어","수학"},-1)+1)</f>
        <v>0.05</v>
      </c>
      <c r="I4" s="12">
        <v>1</v>
      </c>
      <c r="J4" s="12">
        <v>15</v>
      </c>
      <c r="K4" s="12"/>
      <c r="L4" s="12" t="str">
        <f t="shared" ref="L4:L30" si="1">IFERROR(REPT("■",(I4/K4)*10)&amp;TEXT(I4/K4,"0.0%"),"신생강의")</f>
        <v>신생강의</v>
      </c>
      <c r="M4" s="13" t="str">
        <f t="shared" ref="M4:M30" si="2">fn비고(I4,J4)</f>
        <v/>
      </c>
    </row>
    <row r="5" spans="2:13">
      <c r="B5" s="1" t="s">
        <v>78</v>
      </c>
      <c r="C5" s="10" t="str">
        <f t="shared" si="0"/>
        <v>S-15-003</v>
      </c>
      <c r="D5" s="1">
        <v>2015</v>
      </c>
      <c r="E5" s="1" t="s">
        <v>27</v>
      </c>
      <c r="F5" s="1" t="s">
        <v>79</v>
      </c>
      <c r="G5" s="1" t="s">
        <v>80</v>
      </c>
      <c r="H5" s="11">
        <f>HLOOKUP(F5,$C$33:$E$35,MATCH(G5,{"영어","수학"},-1)+1)</f>
        <v>0.25</v>
      </c>
      <c r="I5" s="12">
        <v>4</v>
      </c>
      <c r="J5" s="12">
        <v>230</v>
      </c>
      <c r="K5" s="12">
        <v>3</v>
      </c>
      <c r="L5" s="12" t="str">
        <f t="shared" si="1"/>
        <v>■■■■■■■■■■■■■133.3%</v>
      </c>
      <c r="M5" s="13" t="str">
        <f t="shared" si="2"/>
        <v>강의추가</v>
      </c>
    </row>
    <row r="6" spans="2:13">
      <c r="B6" s="1" t="s">
        <v>81</v>
      </c>
      <c r="C6" s="10" t="str">
        <f t="shared" si="0"/>
        <v>S-15-004</v>
      </c>
      <c r="D6" s="1">
        <v>2015</v>
      </c>
      <c r="E6" s="14" t="s">
        <v>82</v>
      </c>
      <c r="F6" s="1" t="s">
        <v>76</v>
      </c>
      <c r="G6" s="1" t="s">
        <v>83</v>
      </c>
      <c r="H6" s="11">
        <f>HLOOKUP(F6,$C$33:$E$35,MATCH(G6,{"영어","수학"},-1)+1)</f>
        <v>0.1</v>
      </c>
      <c r="I6" s="12">
        <v>8</v>
      </c>
      <c r="J6" s="12">
        <v>131</v>
      </c>
      <c r="K6" s="12">
        <v>9</v>
      </c>
      <c r="L6" s="12" t="str">
        <f t="shared" si="1"/>
        <v>■■■■■■■■88.9%</v>
      </c>
      <c r="M6" s="13" t="str">
        <f t="shared" si="2"/>
        <v/>
      </c>
    </row>
    <row r="7" spans="2:13">
      <c r="B7" s="1" t="s">
        <v>84</v>
      </c>
      <c r="C7" s="10" t="str">
        <f t="shared" si="0"/>
        <v>S-15-005</v>
      </c>
      <c r="D7" s="1">
        <v>2015</v>
      </c>
      <c r="E7" s="14" t="s">
        <v>85</v>
      </c>
      <c r="F7" s="1" t="s">
        <v>86</v>
      </c>
      <c r="G7" s="1" t="s">
        <v>77</v>
      </c>
      <c r="H7" s="11">
        <f>HLOOKUP(F7,$C$33:$E$35,MATCH(G7,{"영어","수학"},-1)+1)</f>
        <v>0.1</v>
      </c>
      <c r="I7" s="12">
        <v>5</v>
      </c>
      <c r="J7" s="12">
        <v>155</v>
      </c>
      <c r="K7" s="12">
        <v>7</v>
      </c>
      <c r="L7" s="12" t="str">
        <f t="shared" si="1"/>
        <v>■■■■■■■71.4%</v>
      </c>
      <c r="M7" s="13" t="str">
        <f t="shared" si="2"/>
        <v>강의추가</v>
      </c>
    </row>
    <row r="8" spans="2:13">
      <c r="B8" s="1" t="s">
        <v>87</v>
      </c>
      <c r="C8" s="10" t="str">
        <f t="shared" si="0"/>
        <v>S-15-006</v>
      </c>
      <c r="D8" s="1">
        <v>2015</v>
      </c>
      <c r="E8" s="1" t="s">
        <v>45</v>
      </c>
      <c r="F8" s="1" t="s">
        <v>88</v>
      </c>
      <c r="G8" s="1" t="s">
        <v>89</v>
      </c>
      <c r="H8" s="11">
        <f>HLOOKUP(F8,$C$33:$E$35,MATCH(G8,{"영어","수학"},-1)+1)</f>
        <v>0.2</v>
      </c>
      <c r="I8" s="12">
        <v>5</v>
      </c>
      <c r="J8" s="12">
        <v>75</v>
      </c>
      <c r="K8" s="12">
        <v>6</v>
      </c>
      <c r="L8" s="12" t="str">
        <f t="shared" si="1"/>
        <v>■■■■■■■■83.3%</v>
      </c>
      <c r="M8" s="13" t="str">
        <f t="shared" si="2"/>
        <v/>
      </c>
    </row>
    <row r="9" spans="2:13">
      <c r="B9" s="1" t="s">
        <v>90</v>
      </c>
      <c r="C9" s="10" t="str">
        <f t="shared" si="0"/>
        <v>S-15-007</v>
      </c>
      <c r="D9" s="1">
        <v>2015</v>
      </c>
      <c r="E9" s="14" t="s">
        <v>91</v>
      </c>
      <c r="F9" s="1" t="s">
        <v>88</v>
      </c>
      <c r="G9" s="1" t="s">
        <v>89</v>
      </c>
      <c r="H9" s="11">
        <f>HLOOKUP(F9,$C$33:$E$35,MATCH(G9,{"영어","수학"},-1)+1)</f>
        <v>0.2</v>
      </c>
      <c r="I9" s="12">
        <v>6</v>
      </c>
      <c r="J9" s="12">
        <v>229</v>
      </c>
      <c r="K9" s="12">
        <v>5</v>
      </c>
      <c r="L9" s="12" t="str">
        <f t="shared" si="1"/>
        <v>■■■■■■■■■■■■120.0%</v>
      </c>
      <c r="M9" s="13" t="str">
        <f t="shared" si="2"/>
        <v>강의추가</v>
      </c>
    </row>
    <row r="10" spans="2:13">
      <c r="B10" s="1" t="s">
        <v>92</v>
      </c>
      <c r="C10" s="10" t="str">
        <f t="shared" si="0"/>
        <v>S-15-008</v>
      </c>
      <c r="D10" s="1">
        <v>2015</v>
      </c>
      <c r="E10" s="1" t="s">
        <v>27</v>
      </c>
      <c r="F10" s="1" t="s">
        <v>93</v>
      </c>
      <c r="G10" s="1" t="s">
        <v>94</v>
      </c>
      <c r="H10" s="11">
        <f>HLOOKUP(F10,$C$33:$E$35,MATCH(G10,{"영어","수학"},-1)+1)</f>
        <v>0.1</v>
      </c>
      <c r="I10" s="12">
        <v>5</v>
      </c>
      <c r="J10" s="12">
        <v>89</v>
      </c>
      <c r="K10" s="12">
        <v>7</v>
      </c>
      <c r="L10" s="12" t="str">
        <f t="shared" si="1"/>
        <v>■■■■■■■71.4%</v>
      </c>
      <c r="M10" s="13" t="str">
        <f t="shared" si="2"/>
        <v/>
      </c>
    </row>
    <row r="11" spans="2:13">
      <c r="B11" s="1" t="s">
        <v>95</v>
      </c>
      <c r="C11" s="10" t="str">
        <f t="shared" si="0"/>
        <v>S-15-009</v>
      </c>
      <c r="D11" s="1">
        <v>2015</v>
      </c>
      <c r="E11" s="14" t="s">
        <v>96</v>
      </c>
      <c r="F11" s="1" t="s">
        <v>93</v>
      </c>
      <c r="G11" s="1" t="s">
        <v>97</v>
      </c>
      <c r="H11" s="11">
        <f>HLOOKUP(F11,$C$33:$E$35,MATCH(G11,{"영어","수학"},-1)+1)</f>
        <v>0.1</v>
      </c>
      <c r="I11" s="12">
        <v>3</v>
      </c>
      <c r="J11" s="12">
        <v>49</v>
      </c>
      <c r="K11" s="12">
        <v>5</v>
      </c>
      <c r="L11" s="12" t="str">
        <f t="shared" si="1"/>
        <v>■■■■■■60.0%</v>
      </c>
      <c r="M11" s="13" t="str">
        <f t="shared" si="2"/>
        <v/>
      </c>
    </row>
    <row r="12" spans="2:13">
      <c r="B12" s="1" t="s">
        <v>98</v>
      </c>
      <c r="C12" s="10" t="str">
        <f t="shared" si="0"/>
        <v>S-15-010</v>
      </c>
      <c r="D12" s="1">
        <v>2015</v>
      </c>
      <c r="E12" s="1" t="s">
        <v>45</v>
      </c>
      <c r="F12" s="1" t="s">
        <v>93</v>
      </c>
      <c r="G12" s="1" t="s">
        <v>94</v>
      </c>
      <c r="H12" s="11">
        <f>HLOOKUP(F12,$C$33:$E$35,MATCH(G12,{"영어","수학"},-1)+1)</f>
        <v>0.1</v>
      </c>
      <c r="I12" s="12">
        <v>2</v>
      </c>
      <c r="J12" s="12">
        <v>50</v>
      </c>
      <c r="K12" s="12"/>
      <c r="L12" s="12" t="str">
        <f t="shared" si="1"/>
        <v>신생강의</v>
      </c>
      <c r="M12" s="13" t="str">
        <f t="shared" si="2"/>
        <v/>
      </c>
    </row>
    <row r="13" spans="2:13">
      <c r="B13" s="1" t="s">
        <v>99</v>
      </c>
      <c r="C13" s="10" t="str">
        <f t="shared" si="0"/>
        <v>S-15-011</v>
      </c>
      <c r="D13" s="1">
        <v>2015</v>
      </c>
      <c r="E13" s="14" t="s">
        <v>100</v>
      </c>
      <c r="F13" s="1" t="s">
        <v>101</v>
      </c>
      <c r="G13" s="1" t="s">
        <v>102</v>
      </c>
      <c r="H13" s="11">
        <f>HLOOKUP(F13,$C$33:$E$35,MATCH(G13,{"영어","수학"},-1)+1)</f>
        <v>0.2</v>
      </c>
      <c r="I13" s="12">
        <v>4</v>
      </c>
      <c r="J13" s="12">
        <v>70</v>
      </c>
      <c r="K13" s="12">
        <v>3</v>
      </c>
      <c r="L13" s="12" t="str">
        <f t="shared" si="1"/>
        <v>■■■■■■■■■■■■■133.3%</v>
      </c>
      <c r="M13" s="13" t="str">
        <f t="shared" si="2"/>
        <v/>
      </c>
    </row>
    <row r="14" spans="2:13">
      <c r="B14" s="1" t="s">
        <v>103</v>
      </c>
      <c r="C14" s="10" t="str">
        <f t="shared" si="0"/>
        <v>S-15-012</v>
      </c>
      <c r="D14" s="1">
        <v>2015</v>
      </c>
      <c r="E14" s="1" t="s">
        <v>47</v>
      </c>
      <c r="F14" s="1" t="s">
        <v>104</v>
      </c>
      <c r="G14" s="1" t="s">
        <v>105</v>
      </c>
      <c r="H14" s="11">
        <f>HLOOKUP(F14,$C$33:$E$35,MATCH(G14,{"영어","수학"},-1)+1)</f>
        <v>0.15</v>
      </c>
      <c r="I14" s="12">
        <v>3</v>
      </c>
      <c r="J14" s="12">
        <v>42</v>
      </c>
      <c r="K14" s="12">
        <v>6</v>
      </c>
      <c r="L14" s="12" t="str">
        <f t="shared" si="1"/>
        <v>■■■■■50.0%</v>
      </c>
      <c r="M14" s="13" t="str">
        <f t="shared" si="2"/>
        <v>강의축소</v>
      </c>
    </row>
    <row r="15" spans="2:13">
      <c r="B15" s="1" t="s">
        <v>106</v>
      </c>
      <c r="C15" s="10" t="str">
        <f t="shared" si="0"/>
        <v>S-15-013</v>
      </c>
      <c r="D15" s="1">
        <v>2015</v>
      </c>
      <c r="E15" s="1" t="s">
        <v>15</v>
      </c>
      <c r="F15" s="1" t="s">
        <v>73</v>
      </c>
      <c r="G15" s="1" t="s">
        <v>107</v>
      </c>
      <c r="H15" s="11">
        <f>HLOOKUP(F15,$C$33:$E$35,MATCH(G15,{"영어","수학"},-1)+1)</f>
        <v>0.15</v>
      </c>
      <c r="I15" s="12">
        <v>2</v>
      </c>
      <c r="J15" s="12">
        <v>32</v>
      </c>
      <c r="K15" s="12">
        <v>5</v>
      </c>
      <c r="L15" s="12" t="str">
        <f t="shared" si="1"/>
        <v>■■■■40.0%</v>
      </c>
      <c r="M15" s="13" t="str">
        <f t="shared" si="2"/>
        <v/>
      </c>
    </row>
    <row r="16" spans="2:13">
      <c r="B16" s="1" t="s">
        <v>108</v>
      </c>
      <c r="C16" s="10" t="str">
        <f t="shared" si="0"/>
        <v>S-15-014</v>
      </c>
      <c r="D16" s="1">
        <v>2015</v>
      </c>
      <c r="E16" s="14" t="s">
        <v>109</v>
      </c>
      <c r="F16" s="1" t="s">
        <v>110</v>
      </c>
      <c r="G16" s="1" t="s">
        <v>111</v>
      </c>
      <c r="H16" s="11">
        <f>HLOOKUP(F16,$C$33:$E$35,MATCH(G16,{"영어","수학"},-1)+1)</f>
        <v>0.1</v>
      </c>
      <c r="I16" s="12">
        <v>6</v>
      </c>
      <c r="J16" s="12">
        <v>350</v>
      </c>
      <c r="K16" s="12">
        <v>5</v>
      </c>
      <c r="L16" s="12" t="str">
        <f t="shared" si="1"/>
        <v>■■■■■■■■■■■■120.0%</v>
      </c>
      <c r="M16" s="13" t="str">
        <f t="shared" si="2"/>
        <v>강의추가</v>
      </c>
    </row>
    <row r="17" spans="2:13">
      <c r="B17" s="1" t="s">
        <v>112</v>
      </c>
      <c r="C17" s="10" t="str">
        <f t="shared" si="0"/>
        <v>S-15-015</v>
      </c>
      <c r="D17" s="1">
        <v>2015</v>
      </c>
      <c r="E17" s="14" t="s">
        <v>113</v>
      </c>
      <c r="F17" s="1" t="s">
        <v>114</v>
      </c>
      <c r="G17" s="1" t="s">
        <v>115</v>
      </c>
      <c r="H17" s="11">
        <f>HLOOKUP(F17,$C$33:$E$35,MATCH(G17,{"영어","수학"},-1)+1)</f>
        <v>0.25</v>
      </c>
      <c r="I17" s="12">
        <v>2</v>
      </c>
      <c r="J17" s="12">
        <v>37</v>
      </c>
      <c r="K17" s="12">
        <v>2</v>
      </c>
      <c r="L17" s="12" t="str">
        <f t="shared" si="1"/>
        <v>■■■■■■■■■■100.0%</v>
      </c>
      <c r="M17" s="13" t="str">
        <f t="shared" si="2"/>
        <v/>
      </c>
    </row>
    <row r="18" spans="2:13">
      <c r="B18" s="1" t="s">
        <v>116</v>
      </c>
      <c r="C18" s="10" t="str">
        <f t="shared" si="0"/>
        <v>S-15-016</v>
      </c>
      <c r="D18" s="1">
        <v>2015</v>
      </c>
      <c r="E18" s="14" t="s">
        <v>117</v>
      </c>
      <c r="F18" s="1" t="s">
        <v>86</v>
      </c>
      <c r="G18" s="1" t="s">
        <v>115</v>
      </c>
      <c r="H18" s="11">
        <f>HLOOKUP(F18,$C$33:$E$35,MATCH(G18,{"영어","수학"},-1)+1)</f>
        <v>0.2</v>
      </c>
      <c r="I18" s="12">
        <v>3</v>
      </c>
      <c r="J18" s="12">
        <v>69</v>
      </c>
      <c r="K18" s="12">
        <v>9</v>
      </c>
      <c r="L18" s="12" t="str">
        <f t="shared" si="1"/>
        <v>■■■33.3%</v>
      </c>
      <c r="M18" s="13" t="str">
        <f t="shared" si="2"/>
        <v/>
      </c>
    </row>
    <row r="19" spans="2:13">
      <c r="B19" s="1" t="s">
        <v>118</v>
      </c>
      <c r="C19" s="10" t="str">
        <f t="shared" si="0"/>
        <v>S-15-017</v>
      </c>
      <c r="D19" s="1">
        <v>2015</v>
      </c>
      <c r="E19" s="14" t="s">
        <v>117</v>
      </c>
      <c r="F19" s="1" t="s">
        <v>76</v>
      </c>
      <c r="G19" s="1" t="s">
        <v>115</v>
      </c>
      <c r="H19" s="11">
        <f>HLOOKUP(F19,$C$33:$E$35,MATCH(G19,{"영어","수학"},-1)+1)</f>
        <v>0.1</v>
      </c>
      <c r="I19" s="12">
        <v>5</v>
      </c>
      <c r="J19" s="12">
        <v>53</v>
      </c>
      <c r="K19" s="12">
        <v>5</v>
      </c>
      <c r="L19" s="12" t="str">
        <f t="shared" si="1"/>
        <v>■■■■■■■■■■100.0%</v>
      </c>
      <c r="M19" s="13" t="str">
        <f t="shared" si="2"/>
        <v>강의축소</v>
      </c>
    </row>
    <row r="20" spans="2:13">
      <c r="B20" s="1" t="s">
        <v>119</v>
      </c>
      <c r="C20" s="10" t="str">
        <f t="shared" si="0"/>
        <v>S-15-018</v>
      </c>
      <c r="D20" s="1">
        <v>2015</v>
      </c>
      <c r="E20" s="14" t="s">
        <v>120</v>
      </c>
      <c r="F20" s="1" t="s">
        <v>121</v>
      </c>
      <c r="G20" s="1" t="s">
        <v>122</v>
      </c>
      <c r="H20" s="11">
        <f>HLOOKUP(F20,$C$33:$E$35,MATCH(G20,{"영어","수학"},-1)+1)</f>
        <v>0.1</v>
      </c>
      <c r="I20" s="12">
        <v>1</v>
      </c>
      <c r="J20" s="12">
        <v>28</v>
      </c>
      <c r="K20" s="12">
        <v>8</v>
      </c>
      <c r="L20" s="12" t="str">
        <f t="shared" si="1"/>
        <v>■12.5%</v>
      </c>
      <c r="M20" s="13" t="str">
        <f t="shared" si="2"/>
        <v/>
      </c>
    </row>
    <row r="21" spans="2:13">
      <c r="B21" s="1" t="s">
        <v>123</v>
      </c>
      <c r="C21" s="10" t="str">
        <f t="shared" si="0"/>
        <v>S-15-019</v>
      </c>
      <c r="D21" s="1">
        <v>2015</v>
      </c>
      <c r="E21" s="14" t="s">
        <v>124</v>
      </c>
      <c r="F21" s="1" t="s">
        <v>125</v>
      </c>
      <c r="G21" s="1" t="s">
        <v>126</v>
      </c>
      <c r="H21" s="11">
        <f>HLOOKUP(F21,$C$33:$E$35,MATCH(G21,{"영어","수학"},-1)+1)</f>
        <v>0.05</v>
      </c>
      <c r="I21" s="12">
        <v>1</v>
      </c>
      <c r="J21" s="12">
        <v>23</v>
      </c>
      <c r="K21" s="12"/>
      <c r="L21" s="12" t="str">
        <f t="shared" si="1"/>
        <v>신생강의</v>
      </c>
      <c r="M21" s="13" t="str">
        <f t="shared" si="2"/>
        <v/>
      </c>
    </row>
    <row r="22" spans="2:13">
      <c r="B22" s="1" t="s">
        <v>127</v>
      </c>
      <c r="C22" s="10" t="str">
        <f t="shared" si="0"/>
        <v>S-16-020</v>
      </c>
      <c r="D22" s="1">
        <v>2016</v>
      </c>
      <c r="E22" s="1" t="s">
        <v>15</v>
      </c>
      <c r="F22" s="1" t="s">
        <v>128</v>
      </c>
      <c r="G22" s="1" t="s">
        <v>122</v>
      </c>
      <c r="H22" s="11">
        <f>HLOOKUP(F22,$C$33:$E$35,MATCH(G22,{"영어","수학"},-1)+1)</f>
        <v>0.05</v>
      </c>
      <c r="I22" s="12">
        <v>5</v>
      </c>
      <c r="J22" s="12">
        <v>45</v>
      </c>
      <c r="K22" s="12">
        <v>4</v>
      </c>
      <c r="L22" s="12" t="str">
        <f t="shared" si="1"/>
        <v>■■■■■■■■■■■■125.0%</v>
      </c>
      <c r="M22" s="13" t="str">
        <f t="shared" si="2"/>
        <v>강의축소</v>
      </c>
    </row>
    <row r="23" spans="2:13">
      <c r="B23" s="1" t="s">
        <v>129</v>
      </c>
      <c r="C23" s="10" t="str">
        <f t="shared" si="0"/>
        <v>S-16-021</v>
      </c>
      <c r="D23" s="1">
        <v>2016</v>
      </c>
      <c r="E23" s="14" t="s">
        <v>130</v>
      </c>
      <c r="F23" s="1" t="s">
        <v>128</v>
      </c>
      <c r="G23" s="1" t="s">
        <v>122</v>
      </c>
      <c r="H23" s="11">
        <f>HLOOKUP(F23,$C$33:$E$35,MATCH(G23,{"영어","수학"},-1)+1)</f>
        <v>0.05</v>
      </c>
      <c r="I23" s="12">
        <v>4</v>
      </c>
      <c r="J23" s="12">
        <v>64</v>
      </c>
      <c r="K23" s="12">
        <v>5</v>
      </c>
      <c r="L23" s="12" t="str">
        <f t="shared" si="1"/>
        <v>■■■■■■■■80.0%</v>
      </c>
      <c r="M23" s="13" t="str">
        <f t="shared" si="2"/>
        <v/>
      </c>
    </row>
    <row r="24" spans="2:13">
      <c r="B24" s="1" t="s">
        <v>131</v>
      </c>
      <c r="C24" s="10" t="str">
        <f t="shared" si="0"/>
        <v>S-16-022</v>
      </c>
      <c r="D24" s="1">
        <v>2016</v>
      </c>
      <c r="E24" s="14" t="s">
        <v>132</v>
      </c>
      <c r="F24" s="1" t="s">
        <v>128</v>
      </c>
      <c r="G24" s="1" t="s">
        <v>133</v>
      </c>
      <c r="H24" s="11">
        <f>HLOOKUP(F24,$C$33:$E$35,MATCH(G24,{"영어","수학"},-1)+1)</f>
        <v>0.1</v>
      </c>
      <c r="I24" s="12">
        <v>4</v>
      </c>
      <c r="J24" s="12">
        <v>79</v>
      </c>
      <c r="K24" s="12">
        <v>5</v>
      </c>
      <c r="L24" s="12" t="str">
        <f t="shared" si="1"/>
        <v>■■■■■■■■80.0%</v>
      </c>
      <c r="M24" s="13" t="str">
        <f t="shared" si="2"/>
        <v/>
      </c>
    </row>
    <row r="25" spans="2:13">
      <c r="B25" s="1" t="s">
        <v>134</v>
      </c>
      <c r="C25" s="10" t="str">
        <f t="shared" si="0"/>
        <v>S-16-023</v>
      </c>
      <c r="D25" s="1">
        <v>2016</v>
      </c>
      <c r="E25" s="14" t="s">
        <v>135</v>
      </c>
      <c r="F25" s="1" t="s">
        <v>128</v>
      </c>
      <c r="G25" s="1" t="s">
        <v>133</v>
      </c>
      <c r="H25" s="11">
        <f>HLOOKUP(F25,$C$33:$E$35,MATCH(G25,{"영어","수학"},-1)+1)</f>
        <v>0.1</v>
      </c>
      <c r="I25" s="12">
        <v>3</v>
      </c>
      <c r="J25" s="12">
        <v>36</v>
      </c>
      <c r="K25" s="12">
        <v>3</v>
      </c>
      <c r="L25" s="12" t="str">
        <f t="shared" si="1"/>
        <v>■■■■■■■■■■100.0%</v>
      </c>
      <c r="M25" s="13" t="str">
        <f t="shared" si="2"/>
        <v>강의축소</v>
      </c>
    </row>
    <row r="26" spans="2:13">
      <c r="B26" s="1" t="s">
        <v>136</v>
      </c>
      <c r="C26" s="10" t="str">
        <f t="shared" si="0"/>
        <v>S-16-024</v>
      </c>
      <c r="D26" s="1">
        <v>2016</v>
      </c>
      <c r="E26" s="1" t="s">
        <v>27</v>
      </c>
      <c r="F26" s="1" t="s">
        <v>125</v>
      </c>
      <c r="G26" s="1" t="s">
        <v>137</v>
      </c>
      <c r="H26" s="11">
        <f>HLOOKUP(F26,$C$33:$E$35,MATCH(G26,{"영어","수학"},-1)+1)</f>
        <v>0.1</v>
      </c>
      <c r="I26" s="12">
        <v>6</v>
      </c>
      <c r="J26" s="12">
        <v>109</v>
      </c>
      <c r="K26" s="12">
        <v>5</v>
      </c>
      <c r="L26" s="12" t="str">
        <f t="shared" si="1"/>
        <v>■■■■■■■■■■■■120.0%</v>
      </c>
      <c r="M26" s="13" t="str">
        <f t="shared" si="2"/>
        <v/>
      </c>
    </row>
    <row r="27" spans="2:13">
      <c r="B27" s="1" t="s">
        <v>138</v>
      </c>
      <c r="C27" s="10" t="str">
        <f t="shared" si="0"/>
        <v>S-16-025</v>
      </c>
      <c r="D27" s="1">
        <v>2016</v>
      </c>
      <c r="E27" s="1" t="s">
        <v>45</v>
      </c>
      <c r="F27" s="1" t="s">
        <v>125</v>
      </c>
      <c r="G27" s="1" t="s">
        <v>137</v>
      </c>
      <c r="H27" s="11">
        <f>HLOOKUP(F27,$C$33:$E$35,MATCH(G27,{"영어","수학"},-1)+1)</f>
        <v>0.1</v>
      </c>
      <c r="I27" s="12">
        <v>2</v>
      </c>
      <c r="J27" s="12">
        <v>33</v>
      </c>
      <c r="K27" s="12">
        <v>5</v>
      </c>
      <c r="L27" s="12" t="str">
        <f t="shared" si="1"/>
        <v>■■■■40.0%</v>
      </c>
      <c r="M27" s="13" t="str">
        <f t="shared" si="2"/>
        <v/>
      </c>
    </row>
    <row r="28" spans="2:13">
      <c r="B28" s="1" t="s">
        <v>139</v>
      </c>
      <c r="C28" s="10" t="str">
        <f t="shared" si="0"/>
        <v>S-16-026</v>
      </c>
      <c r="D28" s="1">
        <v>2016</v>
      </c>
      <c r="E28" s="14" t="s">
        <v>140</v>
      </c>
      <c r="F28" s="1" t="s">
        <v>125</v>
      </c>
      <c r="G28" s="1" t="s">
        <v>141</v>
      </c>
      <c r="H28" s="11">
        <f>HLOOKUP(F28,$C$33:$E$35,MATCH(G28,{"영어","수학"},-1)+1)</f>
        <v>0.1</v>
      </c>
      <c r="I28" s="12">
        <v>1</v>
      </c>
      <c r="J28" s="12">
        <v>29</v>
      </c>
      <c r="K28" s="12">
        <v>4</v>
      </c>
      <c r="L28" s="12" t="str">
        <f t="shared" si="1"/>
        <v>■■25.0%</v>
      </c>
      <c r="M28" s="13" t="str">
        <f t="shared" si="2"/>
        <v/>
      </c>
    </row>
    <row r="29" spans="2:13">
      <c r="B29" s="1" t="s">
        <v>142</v>
      </c>
      <c r="C29" s="10" t="str">
        <f t="shared" si="0"/>
        <v>S-16-027</v>
      </c>
      <c r="D29" s="1">
        <v>2016</v>
      </c>
      <c r="E29" s="14" t="s">
        <v>143</v>
      </c>
      <c r="F29" s="1" t="s">
        <v>121</v>
      </c>
      <c r="G29" s="1" t="s">
        <v>122</v>
      </c>
      <c r="H29" s="11">
        <f>HLOOKUP(F29,$C$33:$E$35,MATCH(G29,{"영어","수학"},-1)+1)</f>
        <v>0.1</v>
      </c>
      <c r="I29" s="12">
        <v>5</v>
      </c>
      <c r="J29" s="12">
        <v>37</v>
      </c>
      <c r="K29" s="12">
        <v>6</v>
      </c>
      <c r="L29" s="12" t="str">
        <f t="shared" si="1"/>
        <v>■■■■■■■■83.3%</v>
      </c>
      <c r="M29" s="13" t="str">
        <f t="shared" si="2"/>
        <v>강의축소</v>
      </c>
    </row>
    <row r="30" spans="2:13">
      <c r="B30" s="1" t="s">
        <v>144</v>
      </c>
      <c r="C30" s="10" t="str">
        <f t="shared" si="0"/>
        <v>S-16-028</v>
      </c>
      <c r="D30" s="1">
        <v>2016</v>
      </c>
      <c r="E30" s="1" t="s">
        <v>45</v>
      </c>
      <c r="F30" s="1" t="s">
        <v>145</v>
      </c>
      <c r="G30" s="1" t="s">
        <v>146</v>
      </c>
      <c r="H30" s="11">
        <f>HLOOKUP(F30,$C$33:$E$35,MATCH(G30,{"영어","수학"},-1)+1)</f>
        <v>0.2</v>
      </c>
      <c r="I30" s="12">
        <v>6</v>
      </c>
      <c r="J30" s="12">
        <v>199</v>
      </c>
      <c r="K30" s="12">
        <v>7</v>
      </c>
      <c r="L30" s="12" t="str">
        <f t="shared" si="1"/>
        <v>■■■■■■■■85.7%</v>
      </c>
      <c r="M30" s="13" t="str">
        <f t="shared" si="2"/>
        <v>강의추가</v>
      </c>
    </row>
    <row r="31" spans="2:13">
      <c r="E31" s="15"/>
      <c r="F31" s="5"/>
      <c r="G31" s="5"/>
      <c r="H31" s="5"/>
      <c r="M31" s="16"/>
    </row>
    <row r="32" spans="2:13">
      <c r="B32" s="17" t="s">
        <v>147</v>
      </c>
      <c r="G32" s="17" t="s">
        <v>148</v>
      </c>
    </row>
    <row r="33" spans="2:10">
      <c r="B33" s="1" t="s">
        <v>64</v>
      </c>
      <c r="C33" s="1" t="s">
        <v>73</v>
      </c>
      <c r="D33" s="1" t="s">
        <v>149</v>
      </c>
      <c r="E33" s="1" t="s">
        <v>110</v>
      </c>
      <c r="G33" s="1" t="s">
        <v>150</v>
      </c>
      <c r="H33" s="9" t="s">
        <v>111</v>
      </c>
      <c r="I33" s="9" t="s">
        <v>107</v>
      </c>
      <c r="J33" s="9" t="s">
        <v>74</v>
      </c>
    </row>
    <row r="34" spans="2:10">
      <c r="B34" s="1" t="s">
        <v>107</v>
      </c>
      <c r="C34" s="18">
        <v>0.15</v>
      </c>
      <c r="D34" s="18">
        <v>0.1</v>
      </c>
      <c r="E34" s="19">
        <v>0.05</v>
      </c>
      <c r="G34" s="1">
        <v>1</v>
      </c>
      <c r="H34" s="1" t="str">
        <f t="array" ref="H34">INDEX($E$3:$E$30,MATCH(LARGE(($G$3:$G$30=H$33)*$J$3:$J$30,$G34),($G$3:$G$30=H$33)*$J$3:$J$30,0),1)</f>
        <v>홍길동</v>
      </c>
      <c r="I34" s="1" t="str">
        <f t="array" ref="I34">INDEX($E$3:$E$30,MATCH(LARGE(($G$3:$G$30=I$33)*$J$3:$J$30,$G34),($G$3:$G$30=I$33)*$J$3:$J$30,0),1)</f>
        <v>김인하</v>
      </c>
      <c r="J34" s="1" t="str">
        <f t="array" ref="J34">INDEX($E$3:$E$30,MATCH(LARGE(($G$3:$G$30=J$33)*$J$3:$J$30,$G34),($G$3:$G$30=J$33)*$J$3:$J$30,0),1)</f>
        <v>박찬훈</v>
      </c>
    </row>
    <row r="35" spans="2:10">
      <c r="B35" s="1" t="s">
        <v>151</v>
      </c>
      <c r="C35" s="18">
        <v>0.25</v>
      </c>
      <c r="D35" s="18">
        <v>0.2</v>
      </c>
      <c r="E35" s="20">
        <v>0.1</v>
      </c>
      <c r="G35" s="1">
        <v>2</v>
      </c>
      <c r="H35" s="1" t="str">
        <f t="array" ref="H35">INDEX($E$3:$E$30,MATCH(LARGE(($G$3:$G$30=H$33)*$J$3:$J$30,$G35),($G$3:$G$30=H$33)*$J$3:$J$30,0),1)</f>
        <v>황성호</v>
      </c>
      <c r="I35" s="1" t="str">
        <f t="array" ref="I35">INDEX($E$3:$E$30,MATCH(LARGE(($G$3:$G$30=I$33)*$J$3:$J$30,$G35),($G$3:$G$30=I$33)*$J$3:$J$30,0),1)</f>
        <v>이명섭</v>
      </c>
      <c r="J35" s="1" t="str">
        <f t="array" ref="J35">INDEX($E$3:$E$30,MATCH(LARGE(($G$3:$G$30=J$33)*$J$3:$J$30,$G35),($G$3:$G$30=J$33)*$J$3:$J$30,0),1)</f>
        <v>정재익</v>
      </c>
    </row>
    <row r="36" spans="2:10">
      <c r="D36" s="21"/>
      <c r="E36" s="22"/>
      <c r="F36" s="5"/>
      <c r="G36" s="1">
        <v>3</v>
      </c>
      <c r="H36" s="1" t="str">
        <f t="array" ref="H36">INDEX($E$3:$E$30,MATCH(LARGE(($G$3:$G$30=H$33)*$J$3:$J$30,$G36),($G$3:$G$30=H$33)*$J$3:$J$30,0),1)</f>
        <v>한우규</v>
      </c>
      <c r="I36" s="1" t="str">
        <f t="array" ref="I36">INDEX($E$3:$E$30,MATCH(LARGE(($G$3:$G$30=I$33)*$J$3:$J$30,$G36),($G$3:$G$30=I$33)*$J$3:$J$30,0),1)</f>
        <v>박준혁</v>
      </c>
      <c r="J36" s="1" t="str">
        <f t="array" ref="J36">INDEX($E$3:$E$30,MATCH(LARGE(($G$3:$G$30=J$33)*$J$3:$J$30,$G36),($G$3:$G$30=J$33)*$J$3:$J$30,0),1)</f>
        <v>박찬훈</v>
      </c>
    </row>
    <row r="37" spans="2:10">
      <c r="C37" s="23"/>
    </row>
    <row r="38" spans="2:10">
      <c r="C38" s="23"/>
    </row>
    <row r="39" spans="2:10">
      <c r="C39" s="23"/>
    </row>
    <row r="40" spans="2:10">
      <c r="C40" s="23"/>
    </row>
    <row r="41" spans="2:10">
      <c r="C41" s="23"/>
    </row>
    <row r="42" spans="2:10">
      <c r="C42" s="23"/>
    </row>
    <row r="43" spans="2:10">
      <c r="C43" s="23"/>
    </row>
    <row r="44" spans="2:10">
      <c r="E44" s="22"/>
    </row>
    <row r="45" spans="2:10">
      <c r="E45" s="22"/>
    </row>
    <row r="46" spans="2:10">
      <c r="E46" s="22"/>
    </row>
    <row r="47" spans="2:10">
      <c r="E47" s="15"/>
    </row>
    <row r="48" spans="2:10">
      <c r="E48" s="15"/>
    </row>
    <row r="49" spans="5:5">
      <c r="E49" s="15"/>
    </row>
    <row r="50" spans="5:5">
      <c r="E50" s="15"/>
    </row>
    <row r="51" spans="5:5">
      <c r="E51" s="15"/>
    </row>
    <row r="52" spans="5:5">
      <c r="E52" s="15"/>
    </row>
    <row r="53" spans="5:5">
      <c r="E53" s="22"/>
    </row>
    <row r="54" spans="5:5">
      <c r="E54" s="22"/>
    </row>
    <row r="55" spans="5:5">
      <c r="E55" s="22"/>
    </row>
    <row r="56" spans="5:5">
      <c r="E56" s="15"/>
    </row>
    <row r="57" spans="5:5">
      <c r="E57" s="15"/>
    </row>
    <row r="58" spans="5:5">
      <c r="E58" s="15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33"/>
  <sheetViews>
    <sheetView workbookViewId="0"/>
  </sheetViews>
  <sheetFormatPr defaultRowHeight="16.5"/>
  <cols>
    <col min="2" max="2" width="12.875" customWidth="1"/>
    <col min="5" max="5" width="12.125" customWidth="1"/>
    <col min="7" max="7" width="15.25" bestFit="1" customWidth="1"/>
    <col min="8" max="8" width="13.25" bestFit="1" customWidth="1"/>
    <col min="9" max="12" width="8.25" customWidth="1"/>
  </cols>
  <sheetData>
    <row r="2" spans="1:12">
      <c r="A2" s="26" t="s">
        <v>1</v>
      </c>
      <c r="B2" s="26" t="s">
        <v>153</v>
      </c>
      <c r="C2" s="26" t="s">
        <v>4</v>
      </c>
      <c r="D2" s="26" t="s">
        <v>5</v>
      </c>
      <c r="E2" s="26" t="s">
        <v>8</v>
      </c>
      <c r="G2" s="29" t="s">
        <v>172</v>
      </c>
      <c r="I2" s="29" t="s">
        <v>5</v>
      </c>
    </row>
    <row r="3" spans="1:12">
      <c r="A3" s="27" t="s">
        <v>10</v>
      </c>
      <c r="B3" s="28">
        <v>42064</v>
      </c>
      <c r="C3" s="27" t="s">
        <v>12</v>
      </c>
      <c r="D3" s="27" t="s">
        <v>13</v>
      </c>
      <c r="E3" s="27">
        <v>229</v>
      </c>
      <c r="G3" s="29" t="s">
        <v>4</v>
      </c>
      <c r="H3" s="29" t="s">
        <v>153</v>
      </c>
      <c r="I3" t="s">
        <v>23</v>
      </c>
      <c r="J3" t="s">
        <v>13</v>
      </c>
      <c r="K3" t="s">
        <v>17</v>
      </c>
      <c r="L3" t="s">
        <v>166</v>
      </c>
    </row>
    <row r="4" spans="1:12">
      <c r="A4" s="27" t="s">
        <v>14</v>
      </c>
      <c r="B4" s="28">
        <v>42248</v>
      </c>
      <c r="C4" s="27" t="s">
        <v>16</v>
      </c>
      <c r="D4" s="27" t="s">
        <v>17</v>
      </c>
      <c r="E4" s="27">
        <v>32</v>
      </c>
      <c r="G4" t="s">
        <v>16</v>
      </c>
      <c r="I4" s="31"/>
      <c r="J4" s="31"/>
      <c r="K4" s="31"/>
      <c r="L4" s="31"/>
    </row>
    <row r="5" spans="1:12">
      <c r="A5" s="27" t="s">
        <v>18</v>
      </c>
      <c r="B5" s="28">
        <v>42430</v>
      </c>
      <c r="C5" s="27" t="s">
        <v>20</v>
      </c>
      <c r="D5" s="27" t="s">
        <v>17</v>
      </c>
      <c r="E5" s="27">
        <v>64</v>
      </c>
      <c r="H5" s="30" t="s">
        <v>167</v>
      </c>
      <c r="I5" s="31">
        <v>133.5</v>
      </c>
      <c r="J5" s="31"/>
      <c r="K5" s="31">
        <v>37</v>
      </c>
      <c r="L5" s="31">
        <v>85.25</v>
      </c>
    </row>
    <row r="6" spans="1:12">
      <c r="A6" s="27" t="s">
        <v>21</v>
      </c>
      <c r="B6" s="28">
        <v>42430</v>
      </c>
      <c r="C6" s="27" t="s">
        <v>20</v>
      </c>
      <c r="D6" s="27" t="s">
        <v>23</v>
      </c>
      <c r="E6" s="27">
        <v>79</v>
      </c>
      <c r="H6" s="30" t="s">
        <v>168</v>
      </c>
      <c r="I6" s="31"/>
      <c r="J6" s="31">
        <v>120</v>
      </c>
      <c r="K6" s="31"/>
      <c r="L6" s="31">
        <v>120</v>
      </c>
    </row>
    <row r="7" spans="1:12">
      <c r="A7" s="27" t="s">
        <v>24</v>
      </c>
      <c r="B7" s="28">
        <v>42614</v>
      </c>
      <c r="C7" s="27" t="s">
        <v>20</v>
      </c>
      <c r="D7" s="27" t="s">
        <v>23</v>
      </c>
      <c r="E7" s="27">
        <v>36</v>
      </c>
      <c r="G7" t="s">
        <v>169</v>
      </c>
      <c r="I7" s="31">
        <v>133.5</v>
      </c>
      <c r="J7" s="31">
        <v>120</v>
      </c>
      <c r="K7" s="31">
        <v>37</v>
      </c>
      <c r="L7" s="31">
        <v>92.2</v>
      </c>
    </row>
    <row r="8" spans="1:12">
      <c r="A8" s="27" t="s">
        <v>26</v>
      </c>
      <c r="B8" s="28">
        <v>42064</v>
      </c>
      <c r="C8" s="27" t="s">
        <v>20</v>
      </c>
      <c r="D8" s="27" t="s">
        <v>13</v>
      </c>
      <c r="E8" s="27">
        <v>109</v>
      </c>
      <c r="G8" t="s">
        <v>12</v>
      </c>
      <c r="I8" s="31"/>
      <c r="J8" s="31"/>
      <c r="K8" s="31"/>
      <c r="L8" s="31"/>
    </row>
    <row r="9" spans="1:12">
      <c r="A9" s="27" t="s">
        <v>28</v>
      </c>
      <c r="B9" s="28">
        <v>42614</v>
      </c>
      <c r="C9" s="27" t="s">
        <v>20</v>
      </c>
      <c r="D9" s="27" t="s">
        <v>17</v>
      </c>
      <c r="E9" s="27">
        <v>45</v>
      </c>
      <c r="H9" s="30" t="s">
        <v>167</v>
      </c>
      <c r="I9" s="31">
        <v>69.5</v>
      </c>
      <c r="J9" s="31">
        <v>152</v>
      </c>
      <c r="K9" s="31">
        <v>91.5</v>
      </c>
      <c r="L9" s="31">
        <v>104.33333333333333</v>
      </c>
    </row>
    <row r="10" spans="1:12">
      <c r="A10" s="27" t="s">
        <v>29</v>
      </c>
      <c r="B10" s="28">
        <v>42248</v>
      </c>
      <c r="C10" s="27" t="s">
        <v>12</v>
      </c>
      <c r="D10" s="27" t="s">
        <v>23</v>
      </c>
      <c r="E10" s="27">
        <v>70</v>
      </c>
      <c r="H10" s="30" t="s">
        <v>168</v>
      </c>
      <c r="I10" s="31"/>
      <c r="J10" s="31">
        <v>199</v>
      </c>
      <c r="K10" s="31">
        <v>37</v>
      </c>
      <c r="L10" s="31">
        <v>118</v>
      </c>
    </row>
    <row r="11" spans="1:12">
      <c r="A11" s="27" t="s">
        <v>31</v>
      </c>
      <c r="B11" s="28">
        <v>42430</v>
      </c>
      <c r="C11" s="27" t="s">
        <v>16</v>
      </c>
      <c r="D11" s="27" t="s">
        <v>13</v>
      </c>
      <c r="E11" s="27">
        <v>120</v>
      </c>
      <c r="G11" t="s">
        <v>170</v>
      </c>
      <c r="I11" s="31">
        <v>69.5</v>
      </c>
      <c r="J11" s="31">
        <v>167.66666666666666</v>
      </c>
      <c r="K11" s="31">
        <v>73.333333333333329</v>
      </c>
      <c r="L11" s="31">
        <v>107.75</v>
      </c>
    </row>
    <row r="12" spans="1:12">
      <c r="A12" s="27" t="s">
        <v>33</v>
      </c>
      <c r="B12" s="28">
        <v>42064</v>
      </c>
      <c r="C12" s="27" t="s">
        <v>20</v>
      </c>
      <c r="D12" s="27" t="s">
        <v>17</v>
      </c>
      <c r="E12" s="27">
        <v>15</v>
      </c>
      <c r="G12" t="s">
        <v>20</v>
      </c>
      <c r="I12" s="31"/>
      <c r="J12" s="31"/>
      <c r="K12" s="31"/>
      <c r="L12" s="31"/>
    </row>
    <row r="13" spans="1:12">
      <c r="A13" s="27" t="s">
        <v>34</v>
      </c>
      <c r="B13" s="28">
        <v>42064</v>
      </c>
      <c r="C13" s="27" t="s">
        <v>20</v>
      </c>
      <c r="D13" s="27" t="s">
        <v>13</v>
      </c>
      <c r="E13" s="27">
        <v>89</v>
      </c>
      <c r="H13" s="30" t="s">
        <v>167</v>
      </c>
      <c r="I13" s="31">
        <v>51</v>
      </c>
      <c r="J13" s="31">
        <v>94.75</v>
      </c>
      <c r="K13" s="31">
        <v>19</v>
      </c>
      <c r="L13" s="31">
        <v>64.875</v>
      </c>
    </row>
    <row r="14" spans="1:12">
      <c r="A14" s="27" t="s">
        <v>35</v>
      </c>
      <c r="B14" s="28">
        <v>42064</v>
      </c>
      <c r="C14" s="27" t="s">
        <v>16</v>
      </c>
      <c r="D14" s="27" t="s">
        <v>23</v>
      </c>
      <c r="E14" s="27">
        <v>37</v>
      </c>
      <c r="H14" s="30" t="s">
        <v>168</v>
      </c>
      <c r="I14" s="31">
        <v>123.5</v>
      </c>
      <c r="J14" s="31">
        <v>33</v>
      </c>
      <c r="K14" s="31">
        <v>54.5</v>
      </c>
      <c r="L14" s="31">
        <v>90.857142857142861</v>
      </c>
    </row>
    <row r="15" spans="1:12">
      <c r="A15" s="27" t="s">
        <v>36</v>
      </c>
      <c r="B15" s="28">
        <v>42064</v>
      </c>
      <c r="C15" s="27" t="s">
        <v>12</v>
      </c>
      <c r="D15" s="27" t="s">
        <v>23</v>
      </c>
      <c r="E15" s="27">
        <v>69</v>
      </c>
      <c r="G15" t="s">
        <v>171</v>
      </c>
      <c r="I15" s="31">
        <v>99.333333333333329</v>
      </c>
      <c r="J15" s="31">
        <v>82.4</v>
      </c>
      <c r="K15" s="31">
        <v>36.75</v>
      </c>
      <c r="L15" s="31">
        <v>77</v>
      </c>
    </row>
    <row r="16" spans="1:12">
      <c r="A16" s="27" t="s">
        <v>37</v>
      </c>
      <c r="B16" s="28">
        <v>42248</v>
      </c>
      <c r="C16" s="27" t="s">
        <v>20</v>
      </c>
      <c r="D16" s="27" t="s">
        <v>23</v>
      </c>
      <c r="E16" s="27">
        <v>53</v>
      </c>
      <c r="G16" t="s">
        <v>166</v>
      </c>
      <c r="I16" s="31">
        <v>100.2</v>
      </c>
      <c r="J16" s="31">
        <v>115</v>
      </c>
      <c r="K16" s="31">
        <v>49</v>
      </c>
      <c r="L16" s="31">
        <v>88.5</v>
      </c>
    </row>
    <row r="17" spans="1:5">
      <c r="A17" s="27" t="s">
        <v>38</v>
      </c>
      <c r="B17" s="28">
        <v>42064</v>
      </c>
      <c r="C17" s="27" t="s">
        <v>12</v>
      </c>
      <c r="D17" s="27" t="s">
        <v>17</v>
      </c>
      <c r="E17" s="27">
        <v>28</v>
      </c>
    </row>
    <row r="18" spans="1:5">
      <c r="A18" s="27" t="s">
        <v>40</v>
      </c>
      <c r="B18" s="28">
        <v>42064</v>
      </c>
      <c r="C18" s="27" t="s">
        <v>20</v>
      </c>
      <c r="D18" s="27" t="s">
        <v>17</v>
      </c>
      <c r="E18" s="27">
        <v>23</v>
      </c>
    </row>
    <row r="19" spans="1:5">
      <c r="A19" s="27" t="s">
        <v>41</v>
      </c>
      <c r="B19" s="28">
        <v>42248</v>
      </c>
      <c r="C19" s="27" t="s">
        <v>16</v>
      </c>
      <c r="D19" s="27" t="s">
        <v>23</v>
      </c>
      <c r="E19" s="27">
        <v>230</v>
      </c>
    </row>
    <row r="20" spans="1:5">
      <c r="A20" s="27" t="s">
        <v>42</v>
      </c>
      <c r="B20" s="28">
        <v>42064</v>
      </c>
      <c r="C20" s="27" t="s">
        <v>20</v>
      </c>
      <c r="D20" s="27" t="s">
        <v>13</v>
      </c>
      <c r="E20" s="27">
        <v>131</v>
      </c>
    </row>
    <row r="21" spans="1:5">
      <c r="A21" s="27" t="s">
        <v>43</v>
      </c>
      <c r="B21" s="28">
        <v>42064</v>
      </c>
      <c r="C21" s="27" t="s">
        <v>20</v>
      </c>
      <c r="D21" s="27" t="s">
        <v>23</v>
      </c>
      <c r="E21" s="27">
        <v>49</v>
      </c>
    </row>
    <row r="22" spans="1:5">
      <c r="A22" s="27" t="s">
        <v>44</v>
      </c>
      <c r="B22" s="28">
        <v>42248</v>
      </c>
      <c r="C22" s="27" t="s">
        <v>12</v>
      </c>
      <c r="D22" s="27" t="s">
        <v>13</v>
      </c>
      <c r="E22" s="27">
        <v>75</v>
      </c>
    </row>
    <row r="23" spans="1:5">
      <c r="A23" s="27" t="s">
        <v>46</v>
      </c>
      <c r="B23" s="28">
        <v>42064</v>
      </c>
      <c r="C23" s="27" t="s">
        <v>16</v>
      </c>
      <c r="D23" s="27" t="s">
        <v>17</v>
      </c>
      <c r="E23" s="27">
        <v>42</v>
      </c>
    </row>
    <row r="24" spans="1:5">
      <c r="A24" s="27" t="s">
        <v>48</v>
      </c>
      <c r="B24" s="28">
        <v>42248</v>
      </c>
      <c r="C24" s="27" t="s">
        <v>20</v>
      </c>
      <c r="D24" s="27" t="s">
        <v>13</v>
      </c>
      <c r="E24" s="27">
        <v>50</v>
      </c>
    </row>
    <row r="25" spans="1:5">
      <c r="A25" s="27" t="s">
        <v>49</v>
      </c>
      <c r="B25" s="28">
        <v>42430</v>
      </c>
      <c r="C25" s="27" t="s">
        <v>20</v>
      </c>
      <c r="D25" s="27" t="s">
        <v>23</v>
      </c>
      <c r="E25" s="27">
        <v>350</v>
      </c>
    </row>
    <row r="26" spans="1:5">
      <c r="A26" s="27" t="s">
        <v>51</v>
      </c>
      <c r="B26" s="28">
        <v>42248</v>
      </c>
      <c r="C26" s="27" t="s">
        <v>12</v>
      </c>
      <c r="D26" s="27" t="s">
        <v>17</v>
      </c>
      <c r="E26" s="27">
        <v>155</v>
      </c>
    </row>
    <row r="27" spans="1:5">
      <c r="A27" s="27" t="s">
        <v>53</v>
      </c>
      <c r="B27" s="28">
        <v>42430</v>
      </c>
      <c r="C27" s="27" t="s">
        <v>20</v>
      </c>
      <c r="D27" s="27" t="s">
        <v>13</v>
      </c>
      <c r="E27" s="27">
        <v>33</v>
      </c>
    </row>
    <row r="28" spans="1:5">
      <c r="A28" s="27" t="s">
        <v>54</v>
      </c>
      <c r="B28" s="28">
        <v>42614</v>
      </c>
      <c r="C28" s="27" t="s">
        <v>20</v>
      </c>
      <c r="D28" s="27" t="s">
        <v>23</v>
      </c>
      <c r="E28" s="27">
        <v>29</v>
      </c>
    </row>
    <row r="29" spans="1:5">
      <c r="A29" s="27" t="s">
        <v>55</v>
      </c>
      <c r="B29" s="28">
        <v>42430</v>
      </c>
      <c r="C29" s="27" t="s">
        <v>12</v>
      </c>
      <c r="D29" s="27" t="s">
        <v>17</v>
      </c>
      <c r="E29" s="27">
        <v>37</v>
      </c>
    </row>
    <row r="30" spans="1:5">
      <c r="A30" s="27" t="s">
        <v>56</v>
      </c>
      <c r="B30" s="28">
        <v>42614</v>
      </c>
      <c r="C30" s="27" t="s">
        <v>12</v>
      </c>
      <c r="D30" s="27" t="s">
        <v>13</v>
      </c>
      <c r="E30" s="27">
        <v>199</v>
      </c>
    </row>
    <row r="31" spans="1:5">
      <c r="A31" s="5"/>
      <c r="B31" s="5"/>
      <c r="C31" s="5"/>
      <c r="D31" s="5"/>
    </row>
    <row r="32" spans="1:5">
      <c r="A32" s="5"/>
      <c r="B32" s="5"/>
      <c r="C32" s="5"/>
      <c r="D32" s="5"/>
    </row>
    <row r="33" spans="1:4">
      <c r="A33" s="5"/>
      <c r="B33" s="5"/>
      <c r="C33" s="5"/>
      <c r="D33" s="5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30"/>
  <sheetViews>
    <sheetView workbookViewId="0"/>
  </sheetViews>
  <sheetFormatPr defaultRowHeight="16.5"/>
  <cols>
    <col min="1" max="1" width="9" bestFit="1" customWidth="1"/>
    <col min="2" max="2" width="11.125" bestFit="1" customWidth="1"/>
    <col min="3" max="3" width="7.125" bestFit="1" customWidth="1"/>
    <col min="4" max="5" width="5.25" bestFit="1" customWidth="1"/>
    <col min="6" max="6" width="13" bestFit="1" customWidth="1"/>
    <col min="7" max="7" width="11" bestFit="1" customWidth="1"/>
    <col min="8" max="8" width="9" bestFit="1" customWidth="1"/>
    <col min="9" max="9" width="11" bestFit="1" customWidth="1"/>
    <col min="10" max="10" width="5" customWidth="1"/>
    <col min="11" max="11" width="7.875" customWidth="1"/>
    <col min="12" max="12" width="9.75" customWidth="1"/>
  </cols>
  <sheetData>
    <row r="1" spans="1:12">
      <c r="A1" t="s">
        <v>58</v>
      </c>
      <c r="K1" t="s">
        <v>152</v>
      </c>
    </row>
    <row r="2" spans="1:12">
      <c r="A2" s="1" t="s">
        <v>1</v>
      </c>
      <c r="B2" s="1" t="s">
        <v>153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K2" s="1" t="s">
        <v>5</v>
      </c>
      <c r="L2" s="1" t="s">
        <v>8</v>
      </c>
    </row>
    <row r="3" spans="1:12">
      <c r="A3" s="1" t="s">
        <v>10</v>
      </c>
      <c r="B3" s="2">
        <v>42064</v>
      </c>
      <c r="C3" s="1" t="s">
        <v>11</v>
      </c>
      <c r="D3" s="1" t="s">
        <v>12</v>
      </c>
      <c r="E3" s="1" t="s">
        <v>13</v>
      </c>
      <c r="F3" s="3">
        <v>0.2</v>
      </c>
      <c r="G3" s="4">
        <v>6</v>
      </c>
      <c r="H3" s="4">
        <v>229</v>
      </c>
      <c r="I3" s="4">
        <v>5</v>
      </c>
      <c r="K3" s="1" t="s">
        <v>133</v>
      </c>
      <c r="L3" s="12">
        <v>1002</v>
      </c>
    </row>
    <row r="4" spans="1:12">
      <c r="A4" s="1" t="s">
        <v>14</v>
      </c>
      <c r="B4" s="2">
        <v>42248</v>
      </c>
      <c r="C4" s="1" t="s">
        <v>15</v>
      </c>
      <c r="D4" s="1" t="s">
        <v>16</v>
      </c>
      <c r="E4" s="1" t="s">
        <v>17</v>
      </c>
      <c r="F4" s="3">
        <v>0.15</v>
      </c>
      <c r="G4" s="4">
        <v>2</v>
      </c>
      <c r="H4" s="4">
        <v>32</v>
      </c>
      <c r="I4" s="4">
        <v>5</v>
      </c>
      <c r="K4" s="1" t="s">
        <v>122</v>
      </c>
      <c r="L4" s="12">
        <v>441</v>
      </c>
    </row>
    <row r="5" spans="1:12">
      <c r="A5" s="1" t="s">
        <v>18</v>
      </c>
      <c r="B5" s="2">
        <v>42430</v>
      </c>
      <c r="C5" s="1" t="s">
        <v>19</v>
      </c>
      <c r="D5" s="1" t="s">
        <v>20</v>
      </c>
      <c r="E5" s="1" t="s">
        <v>17</v>
      </c>
      <c r="F5" s="3">
        <v>0.05</v>
      </c>
      <c r="G5" s="4">
        <v>4</v>
      </c>
      <c r="H5" s="4">
        <v>64</v>
      </c>
      <c r="I5" s="4">
        <v>5</v>
      </c>
      <c r="K5" s="1" t="s">
        <v>154</v>
      </c>
      <c r="L5" s="12">
        <v>1035</v>
      </c>
    </row>
    <row r="6" spans="1:12">
      <c r="A6" s="1" t="s">
        <v>21</v>
      </c>
      <c r="B6" s="2">
        <v>42430</v>
      </c>
      <c r="C6" s="1" t="s">
        <v>22</v>
      </c>
      <c r="D6" s="1" t="s">
        <v>20</v>
      </c>
      <c r="E6" s="1" t="s">
        <v>23</v>
      </c>
      <c r="F6" s="3">
        <v>0.1</v>
      </c>
      <c r="G6" s="4">
        <v>4</v>
      </c>
      <c r="H6" s="4">
        <v>79</v>
      </c>
      <c r="I6" s="4">
        <v>5</v>
      </c>
    </row>
    <row r="7" spans="1:12">
      <c r="A7" s="1" t="s">
        <v>24</v>
      </c>
      <c r="B7" s="2">
        <v>42614</v>
      </c>
      <c r="C7" s="1" t="s">
        <v>25</v>
      </c>
      <c r="D7" s="1" t="s">
        <v>20</v>
      </c>
      <c r="E7" s="1" t="s">
        <v>23</v>
      </c>
      <c r="F7" s="3">
        <v>0.1</v>
      </c>
      <c r="G7" s="4">
        <v>3</v>
      </c>
      <c r="H7" s="4">
        <v>36</v>
      </c>
      <c r="I7" s="4">
        <v>3</v>
      </c>
    </row>
    <row r="8" spans="1:12">
      <c r="A8" s="1" t="s">
        <v>26</v>
      </c>
      <c r="B8" s="2">
        <v>42064</v>
      </c>
      <c r="C8" s="1" t="s">
        <v>27</v>
      </c>
      <c r="D8" s="1" t="s">
        <v>20</v>
      </c>
      <c r="E8" s="1" t="s">
        <v>13</v>
      </c>
      <c r="F8" s="3">
        <v>0.1</v>
      </c>
      <c r="G8" s="4">
        <v>6</v>
      </c>
      <c r="H8" s="4">
        <v>109</v>
      </c>
      <c r="I8" s="4">
        <v>5</v>
      </c>
    </row>
    <row r="9" spans="1:12">
      <c r="A9" s="1" t="s">
        <v>28</v>
      </c>
      <c r="B9" s="2">
        <v>42614</v>
      </c>
      <c r="C9" s="1" t="s">
        <v>15</v>
      </c>
      <c r="D9" s="1" t="s">
        <v>20</v>
      </c>
      <c r="E9" s="1" t="s">
        <v>17</v>
      </c>
      <c r="F9" s="3">
        <v>0.05</v>
      </c>
      <c r="G9" s="4">
        <v>5</v>
      </c>
      <c r="H9" s="4">
        <v>45</v>
      </c>
      <c r="I9" s="4">
        <v>4</v>
      </c>
    </row>
    <row r="10" spans="1:12">
      <c r="A10" s="1" t="s">
        <v>29</v>
      </c>
      <c r="B10" s="2">
        <v>42248</v>
      </c>
      <c r="C10" s="1" t="s">
        <v>30</v>
      </c>
      <c r="D10" s="1" t="s">
        <v>12</v>
      </c>
      <c r="E10" s="1" t="s">
        <v>23</v>
      </c>
      <c r="F10" s="3">
        <v>0.2</v>
      </c>
      <c r="G10" s="4">
        <v>4</v>
      </c>
      <c r="H10" s="4">
        <v>70</v>
      </c>
      <c r="I10" s="4">
        <v>3</v>
      </c>
    </row>
    <row r="11" spans="1:12">
      <c r="A11" s="1" t="s">
        <v>31</v>
      </c>
      <c r="B11" s="2">
        <v>42430</v>
      </c>
      <c r="C11" s="1" t="s">
        <v>32</v>
      </c>
      <c r="D11" s="1" t="s">
        <v>16</v>
      </c>
      <c r="E11" s="1" t="s">
        <v>13</v>
      </c>
      <c r="F11" s="3">
        <v>0.25</v>
      </c>
      <c r="G11" s="4">
        <v>6</v>
      </c>
      <c r="H11" s="4">
        <v>120</v>
      </c>
      <c r="I11" s="4">
        <v>8</v>
      </c>
    </row>
    <row r="12" spans="1:12">
      <c r="A12" s="1" t="s">
        <v>33</v>
      </c>
      <c r="B12" s="2">
        <v>42064</v>
      </c>
      <c r="C12" s="1" t="s">
        <v>15</v>
      </c>
      <c r="D12" s="1" t="s">
        <v>20</v>
      </c>
      <c r="E12" s="1" t="s">
        <v>17</v>
      </c>
      <c r="F12" s="3">
        <v>0.05</v>
      </c>
      <c r="G12" s="4">
        <v>1</v>
      </c>
      <c r="H12" s="4">
        <v>15</v>
      </c>
      <c r="I12" s="4"/>
    </row>
    <row r="13" spans="1:12">
      <c r="A13" s="1" t="s">
        <v>34</v>
      </c>
      <c r="B13" s="2">
        <v>42064</v>
      </c>
      <c r="C13" s="1" t="s">
        <v>27</v>
      </c>
      <c r="D13" s="1" t="s">
        <v>20</v>
      </c>
      <c r="E13" s="1" t="s">
        <v>13</v>
      </c>
      <c r="F13" s="3">
        <v>0.1</v>
      </c>
      <c r="G13" s="4">
        <v>5</v>
      </c>
      <c r="H13" s="4">
        <v>89</v>
      </c>
      <c r="I13" s="4">
        <v>7</v>
      </c>
    </row>
    <row r="14" spans="1:12">
      <c r="A14" s="1" t="s">
        <v>35</v>
      </c>
      <c r="B14" s="2">
        <v>42064</v>
      </c>
      <c r="C14" s="1" t="s">
        <v>30</v>
      </c>
      <c r="D14" s="1" t="s">
        <v>16</v>
      </c>
      <c r="E14" s="1" t="s">
        <v>23</v>
      </c>
      <c r="F14" s="3">
        <v>0.25</v>
      </c>
      <c r="G14" s="4">
        <v>2</v>
      </c>
      <c r="H14" s="4">
        <v>37</v>
      </c>
      <c r="I14" s="4">
        <v>2</v>
      </c>
    </row>
    <row r="15" spans="1:12">
      <c r="A15" s="1" t="s">
        <v>36</v>
      </c>
      <c r="B15" s="2">
        <v>42064</v>
      </c>
      <c r="C15" s="1" t="s">
        <v>25</v>
      </c>
      <c r="D15" s="1" t="s">
        <v>12</v>
      </c>
      <c r="E15" s="1" t="s">
        <v>23</v>
      </c>
      <c r="F15" s="3">
        <v>0.2</v>
      </c>
      <c r="G15" s="4">
        <v>3</v>
      </c>
      <c r="H15" s="4">
        <v>69</v>
      </c>
      <c r="I15" s="4">
        <v>9</v>
      </c>
    </row>
    <row r="16" spans="1:12">
      <c r="A16" s="1" t="s">
        <v>37</v>
      </c>
      <c r="B16" s="2">
        <v>42248</v>
      </c>
      <c r="C16" s="1" t="s">
        <v>25</v>
      </c>
      <c r="D16" s="1" t="s">
        <v>20</v>
      </c>
      <c r="E16" s="1" t="s">
        <v>23</v>
      </c>
      <c r="F16" s="3">
        <v>0.1</v>
      </c>
      <c r="G16" s="4">
        <v>5</v>
      </c>
      <c r="H16" s="4">
        <v>53</v>
      </c>
      <c r="I16" s="4">
        <v>5</v>
      </c>
    </row>
    <row r="17" spans="1:9">
      <c r="A17" s="1" t="s">
        <v>38</v>
      </c>
      <c r="B17" s="2">
        <v>42064</v>
      </c>
      <c r="C17" s="1" t="s">
        <v>39</v>
      </c>
      <c r="D17" s="1" t="s">
        <v>12</v>
      </c>
      <c r="E17" s="1" t="s">
        <v>17</v>
      </c>
      <c r="F17" s="3">
        <v>0.1</v>
      </c>
      <c r="G17" s="4">
        <v>1</v>
      </c>
      <c r="H17" s="4">
        <v>28</v>
      </c>
      <c r="I17" s="4">
        <v>8</v>
      </c>
    </row>
    <row r="18" spans="1:9">
      <c r="A18" s="1" t="s">
        <v>40</v>
      </c>
      <c r="B18" s="2">
        <v>42064</v>
      </c>
      <c r="C18" s="1" t="s">
        <v>19</v>
      </c>
      <c r="D18" s="1" t="s">
        <v>20</v>
      </c>
      <c r="E18" s="1" t="s">
        <v>17</v>
      </c>
      <c r="F18" s="3">
        <v>0.05</v>
      </c>
      <c r="G18" s="4">
        <v>1</v>
      </c>
      <c r="H18" s="4">
        <v>23</v>
      </c>
      <c r="I18" s="4"/>
    </row>
    <row r="19" spans="1:9">
      <c r="A19" s="1" t="s">
        <v>41</v>
      </c>
      <c r="B19" s="2">
        <v>42248</v>
      </c>
      <c r="C19" s="1" t="s">
        <v>27</v>
      </c>
      <c r="D19" s="1" t="s">
        <v>16</v>
      </c>
      <c r="E19" s="1" t="s">
        <v>23</v>
      </c>
      <c r="F19" s="3">
        <v>0.25</v>
      </c>
      <c r="G19" s="4">
        <v>4</v>
      </c>
      <c r="H19" s="4">
        <v>230</v>
      </c>
      <c r="I19" s="4">
        <v>3</v>
      </c>
    </row>
    <row r="20" spans="1:9">
      <c r="A20" s="1" t="s">
        <v>42</v>
      </c>
      <c r="B20" s="2">
        <v>42064</v>
      </c>
      <c r="C20" s="1" t="s">
        <v>11</v>
      </c>
      <c r="D20" s="1" t="s">
        <v>20</v>
      </c>
      <c r="E20" s="1" t="s">
        <v>13</v>
      </c>
      <c r="F20" s="3">
        <v>0.1</v>
      </c>
      <c r="G20" s="4">
        <v>8</v>
      </c>
      <c r="H20" s="4">
        <v>131</v>
      </c>
      <c r="I20" s="4">
        <v>9</v>
      </c>
    </row>
    <row r="21" spans="1:9">
      <c r="A21" s="1" t="s">
        <v>43</v>
      </c>
      <c r="B21" s="2">
        <v>42064</v>
      </c>
      <c r="C21" s="1" t="s">
        <v>22</v>
      </c>
      <c r="D21" s="1" t="s">
        <v>20</v>
      </c>
      <c r="E21" s="1" t="s">
        <v>23</v>
      </c>
      <c r="F21" s="3">
        <v>0.1</v>
      </c>
      <c r="G21" s="4">
        <v>3</v>
      </c>
      <c r="H21" s="4">
        <v>49</v>
      </c>
      <c r="I21" s="4">
        <v>5</v>
      </c>
    </row>
    <row r="22" spans="1:9">
      <c r="A22" s="1" t="s">
        <v>44</v>
      </c>
      <c r="B22" s="2">
        <v>42248</v>
      </c>
      <c r="C22" s="1" t="s">
        <v>45</v>
      </c>
      <c r="D22" s="1" t="s">
        <v>12</v>
      </c>
      <c r="E22" s="1" t="s">
        <v>13</v>
      </c>
      <c r="F22" s="3">
        <v>0.2</v>
      </c>
      <c r="G22" s="4">
        <v>5</v>
      </c>
      <c r="H22" s="4">
        <v>75</v>
      </c>
      <c r="I22" s="4">
        <v>6</v>
      </c>
    </row>
    <row r="23" spans="1:9">
      <c r="A23" s="1" t="s">
        <v>46</v>
      </c>
      <c r="B23" s="2">
        <v>42064</v>
      </c>
      <c r="C23" s="1" t="s">
        <v>47</v>
      </c>
      <c r="D23" s="1" t="s">
        <v>16</v>
      </c>
      <c r="E23" s="1" t="s">
        <v>17</v>
      </c>
      <c r="F23" s="3">
        <v>0.15</v>
      </c>
      <c r="G23" s="4">
        <v>3</v>
      </c>
      <c r="H23" s="4">
        <v>42</v>
      </c>
      <c r="I23" s="4">
        <v>6</v>
      </c>
    </row>
    <row r="24" spans="1:9">
      <c r="A24" s="1" t="s">
        <v>48</v>
      </c>
      <c r="B24" s="2">
        <v>42248</v>
      </c>
      <c r="C24" s="1" t="s">
        <v>45</v>
      </c>
      <c r="D24" s="1" t="s">
        <v>20</v>
      </c>
      <c r="E24" s="1" t="s">
        <v>13</v>
      </c>
      <c r="F24" s="3">
        <v>0.1</v>
      </c>
      <c r="G24" s="4">
        <v>2</v>
      </c>
      <c r="H24" s="4">
        <v>50</v>
      </c>
      <c r="I24" s="4"/>
    </row>
    <row r="25" spans="1:9">
      <c r="A25" s="1" t="s">
        <v>49</v>
      </c>
      <c r="B25" s="2">
        <v>42430</v>
      </c>
      <c r="C25" s="1" t="s">
        <v>50</v>
      </c>
      <c r="D25" s="1" t="s">
        <v>20</v>
      </c>
      <c r="E25" s="1" t="s">
        <v>23</v>
      </c>
      <c r="F25" s="3">
        <v>0.1</v>
      </c>
      <c r="G25" s="4">
        <v>6</v>
      </c>
      <c r="H25" s="4">
        <v>350</v>
      </c>
      <c r="I25" s="4">
        <v>5</v>
      </c>
    </row>
    <row r="26" spans="1:9">
      <c r="A26" s="1" t="s">
        <v>51</v>
      </c>
      <c r="B26" s="2">
        <v>42248</v>
      </c>
      <c r="C26" s="1" t="s">
        <v>52</v>
      </c>
      <c r="D26" s="1" t="s">
        <v>12</v>
      </c>
      <c r="E26" s="1" t="s">
        <v>17</v>
      </c>
      <c r="F26" s="3">
        <v>0.1</v>
      </c>
      <c r="G26" s="4">
        <v>5</v>
      </c>
      <c r="H26" s="4">
        <v>155</v>
      </c>
      <c r="I26" s="4">
        <v>7</v>
      </c>
    </row>
    <row r="27" spans="1:9">
      <c r="A27" s="1" t="s">
        <v>53</v>
      </c>
      <c r="B27" s="2">
        <v>42430</v>
      </c>
      <c r="C27" s="1" t="s">
        <v>45</v>
      </c>
      <c r="D27" s="1" t="s">
        <v>20</v>
      </c>
      <c r="E27" s="1" t="s">
        <v>13</v>
      </c>
      <c r="F27" s="3">
        <v>0.1</v>
      </c>
      <c r="G27" s="4">
        <v>2</v>
      </c>
      <c r="H27" s="4">
        <v>33</v>
      </c>
      <c r="I27" s="4">
        <v>5</v>
      </c>
    </row>
    <row r="28" spans="1:9">
      <c r="A28" s="1" t="s">
        <v>54</v>
      </c>
      <c r="B28" s="2">
        <v>42614</v>
      </c>
      <c r="C28" s="1" t="s">
        <v>50</v>
      </c>
      <c r="D28" s="1" t="s">
        <v>20</v>
      </c>
      <c r="E28" s="1" t="s">
        <v>23</v>
      </c>
      <c r="F28" s="3">
        <v>0.1</v>
      </c>
      <c r="G28" s="4">
        <v>1</v>
      </c>
      <c r="H28" s="4">
        <v>29</v>
      </c>
      <c r="I28" s="4">
        <v>4</v>
      </c>
    </row>
    <row r="29" spans="1:9">
      <c r="A29" s="1" t="s">
        <v>55</v>
      </c>
      <c r="B29" s="2">
        <v>42430</v>
      </c>
      <c r="C29" s="1" t="s">
        <v>52</v>
      </c>
      <c r="D29" s="1" t="s">
        <v>12</v>
      </c>
      <c r="E29" s="1" t="s">
        <v>17</v>
      </c>
      <c r="F29" s="3">
        <v>0.1</v>
      </c>
      <c r="G29" s="4">
        <v>5</v>
      </c>
      <c r="H29" s="4">
        <v>37</v>
      </c>
      <c r="I29" s="4">
        <v>6</v>
      </c>
    </row>
    <row r="30" spans="1:9">
      <c r="A30" s="1" t="s">
        <v>56</v>
      </c>
      <c r="B30" s="2">
        <v>42614</v>
      </c>
      <c r="C30" s="1" t="s">
        <v>45</v>
      </c>
      <c r="D30" s="1" t="s">
        <v>12</v>
      </c>
      <c r="E30" s="1" t="s">
        <v>13</v>
      </c>
      <c r="F30" s="3">
        <v>0.2</v>
      </c>
      <c r="G30" s="4">
        <v>6</v>
      </c>
      <c r="H30" s="4">
        <v>199</v>
      </c>
      <c r="I30" s="4">
        <v>7</v>
      </c>
    </row>
  </sheetData>
  <dataConsolidate topLabels="1">
    <dataRefs count="1">
      <dataRef ref="E2:I30" sheet="분석작업-2"/>
    </dataRefs>
  </dataConsolidate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통합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12"/>
  <sheetViews>
    <sheetView workbookViewId="0"/>
  </sheetViews>
  <sheetFormatPr defaultRowHeight="16.5"/>
  <cols>
    <col min="1" max="1" width="2.25" customWidth="1"/>
    <col min="2" max="2" width="7.125" bestFit="1" customWidth="1"/>
    <col min="3" max="3" width="11" bestFit="1" customWidth="1"/>
    <col min="4" max="4" width="9" bestFit="1" customWidth="1"/>
    <col min="5" max="5" width="13" bestFit="1" customWidth="1"/>
    <col min="6" max="6" width="4.125" customWidth="1"/>
  </cols>
  <sheetData>
    <row r="1" spans="2:5">
      <c r="B1" t="s">
        <v>155</v>
      </c>
    </row>
    <row r="2" spans="2:5">
      <c r="B2" s="1" t="s">
        <v>3</v>
      </c>
      <c r="C2" s="1" t="s">
        <v>7</v>
      </c>
      <c r="D2" s="1" t="s">
        <v>8</v>
      </c>
      <c r="E2" s="1" t="s">
        <v>156</v>
      </c>
    </row>
    <row r="3" spans="2:5">
      <c r="B3" s="1" t="s">
        <v>52</v>
      </c>
      <c r="C3" s="12">
        <v>7</v>
      </c>
      <c r="D3" s="12">
        <v>96</v>
      </c>
      <c r="E3" s="12">
        <f t="shared" ref="E3:E12" si="0">INT(D3/C3)</f>
        <v>13</v>
      </c>
    </row>
    <row r="4" spans="2:5">
      <c r="B4" s="1" t="s">
        <v>15</v>
      </c>
      <c r="C4" s="12">
        <v>1</v>
      </c>
      <c r="D4" s="12">
        <v>35</v>
      </c>
      <c r="E4" s="12">
        <f t="shared" si="0"/>
        <v>35</v>
      </c>
    </row>
    <row r="5" spans="2:5">
      <c r="B5" s="1" t="s">
        <v>11</v>
      </c>
      <c r="C5" s="12">
        <v>6</v>
      </c>
      <c r="D5" s="12">
        <v>150</v>
      </c>
      <c r="E5" s="12">
        <f t="shared" si="0"/>
        <v>25</v>
      </c>
    </row>
    <row r="6" spans="2:5">
      <c r="B6" s="1" t="s">
        <v>27</v>
      </c>
      <c r="C6" s="12">
        <v>3</v>
      </c>
      <c r="D6" s="12">
        <v>142</v>
      </c>
      <c r="E6" s="12">
        <f t="shared" si="0"/>
        <v>47</v>
      </c>
    </row>
    <row r="7" spans="2:5">
      <c r="B7" s="1" t="s">
        <v>30</v>
      </c>
      <c r="C7" s="12">
        <v>3</v>
      </c>
      <c r="D7" s="12">
        <v>53</v>
      </c>
      <c r="E7" s="12">
        <f t="shared" si="0"/>
        <v>17</v>
      </c>
    </row>
    <row r="8" spans="2:5">
      <c r="B8" s="1" t="s">
        <v>32</v>
      </c>
      <c r="C8" s="12">
        <v>9</v>
      </c>
      <c r="D8" s="12">
        <v>120</v>
      </c>
      <c r="E8" s="12">
        <f t="shared" si="0"/>
        <v>13</v>
      </c>
    </row>
    <row r="9" spans="2:5">
      <c r="B9" s="1" t="s">
        <v>19</v>
      </c>
      <c r="C9" s="12">
        <v>2</v>
      </c>
      <c r="D9" s="12">
        <v>43</v>
      </c>
      <c r="E9" s="12">
        <f t="shared" si="0"/>
        <v>21</v>
      </c>
    </row>
    <row r="10" spans="2:5">
      <c r="B10" s="1" t="s">
        <v>47</v>
      </c>
      <c r="C10" s="12">
        <v>2</v>
      </c>
      <c r="D10" s="12">
        <v>62</v>
      </c>
      <c r="E10" s="12">
        <f t="shared" si="0"/>
        <v>31</v>
      </c>
    </row>
    <row r="11" spans="2:5">
      <c r="B11" s="1" t="s">
        <v>22</v>
      </c>
      <c r="C11" s="12">
        <v>3</v>
      </c>
      <c r="D11" s="12">
        <v>64</v>
      </c>
      <c r="E11" s="12">
        <f t="shared" si="0"/>
        <v>21</v>
      </c>
    </row>
    <row r="12" spans="2:5">
      <c r="B12" s="1" t="s">
        <v>50</v>
      </c>
      <c r="C12" s="12">
        <v>3</v>
      </c>
      <c r="D12" s="12">
        <v>189</v>
      </c>
      <c r="E12" s="12">
        <f t="shared" si="0"/>
        <v>63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I14"/>
  <sheetViews>
    <sheetView workbookViewId="0"/>
  </sheetViews>
  <sheetFormatPr defaultRowHeight="16.5"/>
  <cols>
    <col min="1" max="1" width="5.25" customWidth="1"/>
    <col min="5" max="5" width="10.625" customWidth="1"/>
    <col min="6" max="6" width="12" customWidth="1"/>
  </cols>
  <sheetData>
    <row r="1" spans="2:9">
      <c r="B1" t="s">
        <v>157</v>
      </c>
      <c r="E1" t="s">
        <v>158</v>
      </c>
      <c r="F1" s="24">
        <v>42983</v>
      </c>
    </row>
    <row r="3" spans="2:9">
      <c r="B3" s="1" t="s">
        <v>159</v>
      </c>
      <c r="C3" s="1" t="s">
        <v>160</v>
      </c>
      <c r="D3" s="1" t="s">
        <v>161</v>
      </c>
      <c r="E3" s="1" t="s">
        <v>162</v>
      </c>
      <c r="F3" s="1" t="s">
        <v>163</v>
      </c>
    </row>
    <row r="4" spans="2:9">
      <c r="B4" s="12" t="s">
        <v>50</v>
      </c>
      <c r="C4" s="12" t="s">
        <v>164</v>
      </c>
      <c r="D4" s="12" t="s">
        <v>23</v>
      </c>
      <c r="E4" s="12" t="s">
        <v>20</v>
      </c>
      <c r="F4" s="12">
        <v>7</v>
      </c>
    </row>
    <row r="5" spans="2:9">
      <c r="B5" s="12"/>
      <c r="C5" s="12"/>
      <c r="D5" s="12"/>
      <c r="E5" s="12"/>
      <c r="F5" s="12"/>
      <c r="H5" s="1" t="s">
        <v>5</v>
      </c>
      <c r="I5" s="1" t="s">
        <v>4</v>
      </c>
    </row>
    <row r="6" spans="2:9">
      <c r="B6" s="12"/>
      <c r="C6" s="12"/>
      <c r="D6" s="12"/>
      <c r="E6" s="12"/>
      <c r="F6" s="12"/>
      <c r="H6" s="1" t="s">
        <v>97</v>
      </c>
      <c r="I6" s="1" t="s">
        <v>16</v>
      </c>
    </row>
    <row r="7" spans="2:9">
      <c r="B7" s="12"/>
      <c r="C7" s="12"/>
      <c r="D7" s="12"/>
      <c r="E7" s="12"/>
      <c r="F7" s="12"/>
      <c r="H7" s="1" t="s">
        <v>165</v>
      </c>
      <c r="I7" s="1" t="s">
        <v>12</v>
      </c>
    </row>
    <row r="8" spans="2:9">
      <c r="B8" s="12"/>
      <c r="C8" s="12"/>
      <c r="D8" s="12"/>
      <c r="E8" s="12"/>
      <c r="F8" s="12"/>
      <c r="H8" s="1" t="s">
        <v>94</v>
      </c>
      <c r="I8" s="1" t="s">
        <v>20</v>
      </c>
    </row>
    <row r="9" spans="2:9">
      <c r="B9" s="12"/>
      <c r="C9" s="12"/>
      <c r="D9" s="12"/>
      <c r="E9" s="12"/>
      <c r="F9" s="12"/>
    </row>
    <row r="10" spans="2:9">
      <c r="B10" s="12"/>
      <c r="C10" s="12"/>
      <c r="D10" s="12"/>
      <c r="E10" s="12"/>
      <c r="F10" s="12"/>
    </row>
    <row r="11" spans="2:9">
      <c r="B11" s="12"/>
      <c r="C11" s="12"/>
      <c r="D11" s="12"/>
      <c r="E11" s="12"/>
      <c r="F11" s="12"/>
    </row>
    <row r="12" spans="2:9">
      <c r="B12" s="12"/>
      <c r="C12" s="12"/>
      <c r="D12" s="12"/>
      <c r="E12" s="12"/>
      <c r="F12" s="12"/>
    </row>
    <row r="13" spans="2:9">
      <c r="B13" s="12"/>
      <c r="C13" s="12"/>
      <c r="D13" s="12"/>
      <c r="E13" s="12"/>
      <c r="F13" s="12"/>
    </row>
    <row r="14" spans="2:9">
      <c r="B14" s="12"/>
      <c r="C14" s="12"/>
      <c r="D14" s="12"/>
      <c r="E14" s="12"/>
      <c r="F14" s="1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수강등록">
          <controlPr defaultSize="0" autoLine="0" r:id="rId4">
            <anchor moveWithCells="1">
              <from>
                <xdr:col>6</xdr:col>
                <xdr:colOff>238125</xdr:colOff>
                <xdr:row>0</xdr:row>
                <xdr:rowOff>85725</xdr:rowOff>
              </from>
              <to>
                <xdr:col>7</xdr:col>
                <xdr:colOff>371475</xdr:colOff>
                <xdr:row>2</xdr:row>
                <xdr:rowOff>19050</xdr:rowOff>
              </to>
            </anchor>
          </controlPr>
        </control>
      </mc:Choice>
      <mc:Fallback>
        <control shapeId="3073" r:id="rId3" name="cmd수강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2017-08-31T02:22:45Z</dcterms:created>
  <dcterms:modified xsi:type="dcterms:W3CDTF">2017-09-05T11:37:20Z</dcterms:modified>
</cp:coreProperties>
</file>