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600" yWindow="120" windowWidth="17235" windowHeight="9855" tabRatio="716" activeTab="2"/>
  </bookViews>
  <sheets>
    <sheet name="기본작업-1" sheetId="4" r:id="rId1"/>
    <sheet name="기본작업-2" sheetId="5" r:id="rId2"/>
    <sheet name="계산작업" sheetId="6" r:id="rId3"/>
    <sheet name="분석작업-1" sheetId="7" r:id="rId4"/>
    <sheet name="분석작업-2" sheetId="8" r:id="rId5"/>
    <sheet name="기타작업-1" sheetId="9" r:id="rId6"/>
    <sheet name="기타작업-2" sheetId="10" r:id="rId7"/>
  </sheets>
  <functionGroups builtInGroupCount="17"/>
  <definedNames>
    <definedName name="_xlnm._FilterDatabase" localSheetId="2" hidden="1">계산작업!$A$2:$I$37</definedName>
    <definedName name="_xlnm._FilterDatabase" localSheetId="1" hidden="1">'기본작업-2'!$B$2:$G$36</definedName>
    <definedName name="_xlnm.Criteria" localSheetId="1">'기본작업-2'!$I$2:$I$3</definedName>
    <definedName name="_xlnm.Extract" localSheetId="1">'기본작업-2'!$I$7:$M$7</definedName>
  </definedNames>
  <calcPr calcId="145621"/>
  <pivotCaches>
    <pivotCache cacheId="6" r:id="rId8"/>
  </pivotCaches>
</workbook>
</file>

<file path=xl/calcChain.xml><?xml version="1.0" encoding="utf-8"?>
<calcChain xmlns="http://schemas.openxmlformats.org/spreadsheetml/2006/main">
  <c r="L19" i="6" l="1" a="1"/>
  <c r="L19" i="6" s="1"/>
  <c r="L20" i="6" a="1"/>
  <c r="L20" i="6"/>
  <c r="L21" i="6" a="1"/>
  <c r="L21" i="6" s="1"/>
  <c r="L18" i="6" a="1"/>
  <c r="L18" i="6" s="1"/>
  <c r="I3" i="5"/>
  <c r="M12" i="6" l="1" a="1"/>
  <c r="M12" i="6" s="1"/>
  <c r="N12" i="6" a="1"/>
  <c r="N12" i="6"/>
  <c r="M13" i="6" a="1"/>
  <c r="M13" i="6" s="1"/>
  <c r="N13" i="6" a="1"/>
  <c r="N13" i="6"/>
  <c r="M14" i="6" a="1"/>
  <c r="M14" i="6" s="1"/>
  <c r="N14" i="6" a="1"/>
  <c r="N14" i="6" s="1"/>
  <c r="L13" i="6" a="1"/>
  <c r="L13" i="6"/>
  <c r="L14" i="6" a="1"/>
  <c r="L14" i="6"/>
  <c r="L12" i="6" a="1"/>
  <c r="L12" i="6" s="1"/>
  <c r="F51" i="8" l="1"/>
  <c r="E51" i="8"/>
  <c r="D51" i="8"/>
  <c r="F50" i="8"/>
  <c r="E50" i="8"/>
  <c r="D50" i="8"/>
  <c r="F46" i="8"/>
  <c r="E46" i="8"/>
  <c r="D46" i="8"/>
  <c r="F42" i="8"/>
  <c r="E42" i="8"/>
  <c r="D42" i="8"/>
  <c r="F38" i="8"/>
  <c r="E38" i="8"/>
  <c r="D38" i="8"/>
  <c r="F34" i="8"/>
  <c r="E34" i="8"/>
  <c r="D34" i="8"/>
  <c r="F30" i="8"/>
  <c r="E30" i="8"/>
  <c r="D30" i="8"/>
  <c r="F26" i="8"/>
  <c r="E26" i="8"/>
  <c r="D26" i="8"/>
  <c r="F22" i="8"/>
  <c r="E22" i="8"/>
  <c r="D22" i="8"/>
  <c r="F18" i="8"/>
  <c r="E18" i="8"/>
  <c r="D18" i="8"/>
  <c r="F14" i="8"/>
  <c r="E14" i="8"/>
  <c r="D14" i="8"/>
  <c r="F10" i="8"/>
  <c r="E10" i="8"/>
  <c r="D10" i="8"/>
  <c r="G4" i="6" l="1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" i="6"/>
  <c r="C4" i="6" l="1"/>
  <c r="C5" i="6"/>
  <c r="C6" i="6"/>
  <c r="C7" i="6"/>
  <c r="C8" i="6"/>
  <c r="C9" i="6"/>
  <c r="C10" i="6"/>
  <c r="C11" i="6"/>
  <c r="C12" i="6"/>
  <c r="C13" i="6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34" i="6"/>
  <c r="C35" i="6"/>
  <c r="C36" i="6"/>
  <c r="C37" i="6"/>
  <c r="C3" i="6"/>
  <c r="I30" i="6"/>
  <c r="I29" i="6"/>
  <c r="I35" i="6"/>
  <c r="I34" i="6"/>
  <c r="I28" i="6"/>
  <c r="I4" i="6"/>
  <c r="I23" i="6"/>
  <c r="I26" i="6"/>
  <c r="I31" i="6"/>
  <c r="I21" i="6"/>
  <c r="I15" i="6"/>
  <c r="I12" i="6"/>
  <c r="I36" i="6"/>
  <c r="I10" i="6"/>
  <c r="I5" i="6"/>
  <c r="I32" i="6"/>
  <c r="I20" i="6"/>
  <c r="I25" i="6"/>
  <c r="I3" i="6"/>
  <c r="I16" i="6"/>
  <c r="I22" i="6"/>
  <c r="I24" i="6"/>
  <c r="I13" i="6"/>
  <c r="I18" i="6"/>
  <c r="I27" i="6"/>
  <c r="I19" i="6"/>
  <c r="I6" i="6"/>
  <c r="I17" i="6"/>
  <c r="I37" i="6"/>
  <c r="I14" i="6"/>
  <c r="I11" i="6"/>
  <c r="I33" i="6"/>
  <c r="I7" i="6"/>
  <c r="I8" i="6"/>
  <c r="I9" i="6"/>
  <c r="F48" i="8" l="1"/>
  <c r="F44" i="8"/>
  <c r="F41" i="8"/>
  <c r="F36" i="8"/>
  <c r="F33" i="8"/>
  <c r="F28" i="8"/>
  <c r="F24" i="8"/>
  <c r="F20" i="8"/>
  <c r="F16" i="8"/>
  <c r="F12" i="8"/>
  <c r="F8" i="8"/>
  <c r="F47" i="8"/>
  <c r="F43" i="8"/>
  <c r="F39" i="8"/>
  <c r="F35" i="8"/>
  <c r="F31" i="8"/>
  <c r="F27" i="8"/>
  <c r="F23" i="8"/>
  <c r="F19" i="8"/>
  <c r="F15" i="8"/>
  <c r="F11" i="8"/>
  <c r="F7" i="8"/>
  <c r="F49" i="8"/>
  <c r="F45" i="8"/>
  <c r="F40" i="8"/>
  <c r="F37" i="8"/>
  <c r="F32" i="8"/>
  <c r="F29" i="8"/>
  <c r="F25" i="8"/>
  <c r="F21" i="8"/>
  <c r="F17" i="8"/>
  <c r="F13" i="8"/>
  <c r="F9" i="8"/>
</calcChain>
</file>

<file path=xl/connections.xml><?xml version="1.0" encoding="utf-8"?>
<connections xmlns="http://schemas.openxmlformats.org/spreadsheetml/2006/main">
  <connection id="1" name="MS Access Database_Query1" type="1" refreshedVersion="4" saveData="1">
    <dbPr connection="DSN=MS Access Database;DBQ=C:\길벗컴활1급\03 최신기출문제\02 16년3회1급E형\생활기상정보.accdb;DefaultDir=C:\길벗컴활1급\03 최신기출문제\02 16년3회1급E형;DriverId=25;FIL=MS Access;MaxBufferSize=2048;PageTimeout=5;" command="SELECT 기상자료.기상, 기상자료.지역, 기상자료.`1월`, 기상자료.`2월`, 기상자료.`3월`, 기상자료.`4월`, 기상자료.`5월`, 기상자료.`12월`_x000d__x000a_FROM 기상자료 기상자료"/>
  </connection>
</connections>
</file>

<file path=xl/sharedStrings.xml><?xml version="1.0" encoding="utf-8"?>
<sst xmlns="http://schemas.openxmlformats.org/spreadsheetml/2006/main" count="777" uniqueCount="275">
  <si>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</si>
  <si>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</si>
  <si>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</si>
  <si>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</si>
  <si>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</si>
  <si>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</si>
  <si>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</si>
  <si>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</si>
  <si>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2016-02-01</t>
  </si>
  <si>
    <t>김*영</t>
    <phoneticPr fontId="9" type="noConversion"/>
  </si>
  <si>
    <t>지식재산 금융과 법제도</t>
  </si>
  <si>
    <t>김승열</t>
  </si>
  <si>
    <t>값싼 음식의 실제 가격</t>
  </si>
  <si>
    <t>마이클 캐롤런</t>
  </si>
  <si>
    <t>2016-02-03</t>
  </si>
  <si>
    <t>조*현</t>
    <phoneticPr fontId="9" type="noConversion"/>
  </si>
  <si>
    <t>입고예정</t>
    <phoneticPr fontId="9" type="noConversion"/>
  </si>
  <si>
    <t>0년</t>
  </si>
  <si>
    <t>이안 부루마</t>
  </si>
  <si>
    <t>나이트 워치 상</t>
  </si>
  <si>
    <t>세르게이 루키야넨코</t>
  </si>
  <si>
    <t>정*지</t>
    <phoneticPr fontId="9" type="noConversion"/>
  </si>
  <si>
    <t>새 하늘과 새 땅</t>
  </si>
  <si>
    <t>리처드 미들턴</t>
  </si>
  <si>
    <t>2016-02-06</t>
  </si>
  <si>
    <t>정*식</t>
    <phoneticPr fontId="9" type="noConversion"/>
  </si>
  <si>
    <t>알라</t>
    <phoneticPr fontId="9" type="noConversion"/>
  </si>
  <si>
    <t>미로슬라브 볼프</t>
  </si>
  <si>
    <t>정*울</t>
    <phoneticPr fontId="9" type="noConversion"/>
  </si>
  <si>
    <t>섬을 탈출하는 방법</t>
  </si>
  <si>
    <t>조형근, 김종배</t>
  </si>
  <si>
    <t>박*철</t>
    <phoneticPr fontId="9" type="noConversion"/>
  </si>
  <si>
    <t>벤저민 그레이엄의 정량분석 Quant</t>
  </si>
  <si>
    <t>스티븐 P. 그라이너</t>
  </si>
  <si>
    <t>2016-02-09</t>
  </si>
  <si>
    <t>민*준</t>
    <phoneticPr fontId="9" type="noConversion"/>
  </si>
  <si>
    <t>라플라스의 마녀</t>
    <phoneticPr fontId="9" type="noConversion"/>
  </si>
  <si>
    <t>히가시노게이고</t>
  </si>
  <si>
    <t>2016-02-11</t>
  </si>
  <si>
    <t>김*연</t>
    <phoneticPr fontId="9" type="noConversion"/>
  </si>
  <si>
    <t>우선신청도서</t>
    <phoneticPr fontId="9" type="noConversion"/>
  </si>
  <si>
    <t>글쓰는 여자의 공간</t>
  </si>
  <si>
    <t>타니아 슐리</t>
  </si>
  <si>
    <t>조*혜</t>
    <phoneticPr fontId="9" type="noConversion"/>
  </si>
  <si>
    <t>돼지 루퍼스, 학교에 가다</t>
  </si>
  <si>
    <t>킴 그리스웰</t>
  </si>
  <si>
    <t>2016-02-12</t>
  </si>
  <si>
    <t>이*경</t>
    <phoneticPr fontId="9" type="noConversion"/>
  </si>
  <si>
    <t>빼꼼 아저씨네 동물원</t>
  </si>
  <si>
    <t>케빈 월드론</t>
  </si>
  <si>
    <t>주*민</t>
    <phoneticPr fontId="9" type="noConversion"/>
  </si>
  <si>
    <t>부동산의 보이지 않는 진실</t>
    <phoneticPr fontId="9" type="noConversion"/>
  </si>
  <si>
    <t>이재범 외1</t>
    <phoneticPr fontId="9" type="noConversion"/>
  </si>
  <si>
    <t>2016-02-13</t>
  </si>
  <si>
    <t>Why? 소프트웨어와 코딩</t>
    <phoneticPr fontId="9" type="noConversion"/>
  </si>
  <si>
    <t>조영선</t>
    <phoneticPr fontId="9" type="noConversion"/>
  </si>
  <si>
    <t>2016-02-17</t>
  </si>
  <si>
    <t>변*우</t>
    <phoneticPr fontId="9" type="noConversion"/>
  </si>
  <si>
    <t>나는 단순하게 살기로 했다</t>
    <phoneticPr fontId="9" type="noConversion"/>
  </si>
  <si>
    <t>사사키 후미오</t>
    <phoneticPr fontId="9" type="noConversion"/>
  </si>
  <si>
    <t>김*선</t>
    <phoneticPr fontId="9" type="noConversion"/>
  </si>
  <si>
    <t>나는 누구인가 - 인문학 최고의 공부</t>
    <phoneticPr fontId="9" type="noConversion"/>
  </si>
  <si>
    <t>강신주, 고미숙 외5</t>
    <phoneticPr fontId="9" type="noConversion"/>
  </si>
  <si>
    <t>송*자</t>
    <phoneticPr fontId="9" type="noConversion"/>
  </si>
  <si>
    <t>음의 방정식</t>
    <phoneticPr fontId="9" type="noConversion"/>
  </si>
  <si>
    <t>미야베 미유키</t>
    <phoneticPr fontId="9" type="noConversion"/>
  </si>
  <si>
    <t>2016-02-19</t>
  </si>
  <si>
    <t>이*아</t>
    <phoneticPr fontId="9" type="noConversion"/>
  </si>
  <si>
    <t>인성이 실력이다</t>
    <phoneticPr fontId="9" type="noConversion"/>
  </si>
  <si>
    <t>조벽</t>
    <phoneticPr fontId="9" type="noConversion"/>
  </si>
  <si>
    <t>2016-02-20</t>
  </si>
  <si>
    <t>고*원</t>
    <phoneticPr fontId="9" type="noConversion"/>
  </si>
  <si>
    <t>학교를 개선하는 교사</t>
    <phoneticPr fontId="9" type="noConversion"/>
  </si>
  <si>
    <t>마이클 풀란</t>
    <phoneticPr fontId="9" type="noConversion"/>
  </si>
  <si>
    <t>2016-02-23</t>
  </si>
  <si>
    <t>한*원</t>
    <phoneticPr fontId="9" type="noConversion"/>
  </si>
  <si>
    <t>부시파일럿, 나는 길이 없는 곳으로 간다</t>
    <phoneticPr fontId="9" type="noConversion"/>
  </si>
  <si>
    <t>오현호</t>
    <phoneticPr fontId="9" type="noConversion"/>
  </si>
  <si>
    <t>최*설</t>
    <phoneticPr fontId="9" type="noConversion"/>
  </si>
  <si>
    <t>ENJOY 훗카이도(2015-2016)</t>
    <phoneticPr fontId="9" type="noConversion"/>
  </si>
  <si>
    <t>정태관,박용준,민보영</t>
    <phoneticPr fontId="9" type="noConversion"/>
  </si>
  <si>
    <t>2016-02-24</t>
  </si>
  <si>
    <t>우리 아이 유치원 에이스 만들기</t>
  </si>
  <si>
    <t>에이미</t>
  </si>
  <si>
    <t>Tad Hills</t>
  </si>
  <si>
    <t>2016-02-25</t>
  </si>
  <si>
    <t>김*레</t>
    <phoneticPr fontId="9" type="noConversion"/>
  </si>
  <si>
    <t>3월입고예정</t>
    <phoneticPr fontId="9" type="noConversion"/>
  </si>
  <si>
    <t>Duck &amp; Goose : Find a Pumpkin</t>
    <phoneticPr fontId="9" type="noConversion"/>
  </si>
  <si>
    <t>스웨덴 엄마의 말하기 수업</t>
  </si>
  <si>
    <t>페트라 크란츠 린드그렌</t>
  </si>
  <si>
    <t>2016-02-26</t>
  </si>
  <si>
    <t>김*일</t>
    <phoneticPr fontId="9" type="noConversion"/>
  </si>
  <si>
    <t>잠자고 싶은 토끼</t>
    <phoneticPr fontId="9" type="noConversion"/>
  </si>
  <si>
    <t>칼 요한 포센 엘린</t>
  </si>
  <si>
    <t>정*희</t>
    <phoneticPr fontId="9" type="noConversion"/>
  </si>
  <si>
    <t>뭐? 나랑 너랑 닮았다고!?</t>
    <phoneticPr fontId="9" type="noConversion"/>
  </si>
  <si>
    <t>고미 타로</t>
  </si>
  <si>
    <t>2030년에는 투명망토가 나올까</t>
    <phoneticPr fontId="9" type="noConversion"/>
  </si>
  <si>
    <t>얀 파울 스취턴</t>
  </si>
  <si>
    <t>김*윤</t>
    <phoneticPr fontId="9" type="noConversion"/>
  </si>
  <si>
    <t>조금만 기다려봐</t>
  </si>
  <si>
    <t>케빈 행크스</t>
  </si>
  <si>
    <t>김*송</t>
    <phoneticPr fontId="9" type="noConversion"/>
  </si>
  <si>
    <t>자본에 관한 불편한 진실</t>
    <phoneticPr fontId="9" type="noConversion"/>
  </si>
  <si>
    <t>정철진</t>
    <phoneticPr fontId="9" type="noConversion"/>
  </si>
  <si>
    <t>맹*현</t>
    <phoneticPr fontId="9" type="noConversion"/>
  </si>
  <si>
    <t>당나귀와 다이아몬드</t>
    <phoneticPr fontId="9" type="noConversion"/>
  </si>
  <si>
    <t>D&amp;B</t>
  </si>
  <si>
    <t>오*진</t>
    <phoneticPr fontId="9" type="noConversion"/>
  </si>
  <si>
    <t>품절도서</t>
    <phoneticPr fontId="9" type="noConversion"/>
  </si>
  <si>
    <t>아바타 나영일</t>
    <phoneticPr fontId="9" type="noConversion"/>
  </si>
  <si>
    <t>박상재</t>
    <phoneticPr fontId="9" type="noConversion"/>
  </si>
  <si>
    <t>2016-02-27</t>
  </si>
  <si>
    <t>Extra Yarn</t>
  </si>
  <si>
    <t>Mac Barnett</t>
  </si>
  <si>
    <t>이*숙</t>
    <phoneticPr fontId="9" type="noConversion"/>
  </si>
  <si>
    <t>3월말입고예정</t>
    <phoneticPr fontId="9" type="noConversion"/>
  </si>
  <si>
    <t>The Unfinished Angel</t>
  </si>
  <si>
    <t>Creech, Sharon</t>
  </si>
  <si>
    <t>2016-02-28</t>
  </si>
  <si>
    <t>서*원</t>
    <phoneticPr fontId="9" type="noConversion"/>
  </si>
  <si>
    <t>[표1]</t>
    <phoneticPr fontId="7" type="noConversion"/>
  </si>
  <si>
    <t>[표2]</t>
    <phoneticPr fontId="7" type="noConversion"/>
  </si>
  <si>
    <t>[표3]</t>
    <phoneticPr fontId="7" type="noConversion"/>
  </si>
  <si>
    <t>성명</t>
    <phoneticPr fontId="9" type="noConversion"/>
  </si>
  <si>
    <t>관계</t>
  </si>
  <si>
    <t>부양공제</t>
  </si>
  <si>
    <t>소득공제</t>
    <phoneticPr fontId="9" type="noConversion"/>
  </si>
  <si>
    <t>소득공제내용</t>
    <phoneticPr fontId="9" type="noConversion"/>
  </si>
  <si>
    <t>법인명</t>
    <phoneticPr fontId="9" type="noConversion"/>
  </si>
  <si>
    <t>사업자번호</t>
    <phoneticPr fontId="9" type="noConversion"/>
  </si>
  <si>
    <t>금액</t>
    <phoneticPr fontId="9" type="noConversion"/>
  </si>
  <si>
    <t>의료비보조</t>
    <phoneticPr fontId="9" type="noConversion"/>
  </si>
  <si>
    <t>김가인</t>
  </si>
  <si>
    <t>모</t>
  </si>
  <si>
    <t>일반의료비</t>
  </si>
  <si>
    <t>간소화자료</t>
  </si>
  <si>
    <t>사랑의원</t>
    <phoneticPr fontId="7" type="noConversion"/>
  </si>
  <si>
    <t>주인철</t>
  </si>
  <si>
    <t>부</t>
    <phoneticPr fontId="7" type="noConversion"/>
  </si>
  <si>
    <t>한국대학교</t>
    <phoneticPr fontId="9" type="noConversion"/>
  </si>
  <si>
    <t>123-45-6789</t>
    <phoneticPr fontId="7" type="noConversion"/>
  </si>
  <si>
    <t>신용카드</t>
  </si>
  <si>
    <t>대중교통</t>
  </si>
  <si>
    <t>상공카드</t>
  </si>
  <si>
    <t>미래카드</t>
  </si>
  <si>
    <t>123-45-6790</t>
  </si>
  <si>
    <t>주호백</t>
  </si>
  <si>
    <t>본인</t>
  </si>
  <si>
    <t>123-45-6791</t>
  </si>
  <si>
    <t>현금영수증</t>
  </si>
  <si>
    <t>일반사용분</t>
  </si>
  <si>
    <t/>
  </si>
  <si>
    <t>주인해</t>
  </si>
  <si>
    <t>자</t>
  </si>
  <si>
    <t>알파고카드</t>
  </si>
  <si>
    <t>123-45-6792</t>
  </si>
  <si>
    <t>사랑의원</t>
    <phoneticPr fontId="7" type="noConversion"/>
  </si>
  <si>
    <t>123-45-6793</t>
  </si>
  <si>
    <t>중앙병원</t>
  </si>
  <si>
    <t>123-45-6794</t>
  </si>
  <si>
    <t>전통시장</t>
  </si>
  <si>
    <t>중앙병원</t>
    <phoneticPr fontId="7" type="noConversion"/>
  </si>
  <si>
    <t>[표4]</t>
    <phoneticPr fontId="7" type="noConversion"/>
  </si>
  <si>
    <t>(단위: 천원)</t>
    <phoneticPr fontId="7" type="noConversion"/>
  </si>
  <si>
    <t>임윤아</t>
    <phoneticPr fontId="7" type="noConversion"/>
  </si>
  <si>
    <t>처</t>
    <phoneticPr fontId="7" type="noConversion"/>
  </si>
  <si>
    <t>지정기부금</t>
  </si>
  <si>
    <t>법인</t>
  </si>
  <si>
    <t>사단법인</t>
    <phoneticPr fontId="7" type="noConversion"/>
  </si>
  <si>
    <t>소득공제</t>
    <phoneticPr fontId="9" type="noConversion"/>
  </si>
  <si>
    <t>일반사용분</t>
    <phoneticPr fontId="9" type="noConversion"/>
  </si>
  <si>
    <t>대중교통</t>
    <phoneticPr fontId="9" type="noConversion"/>
  </si>
  <si>
    <t>전통시장</t>
    <phoneticPr fontId="9" type="noConversion"/>
  </si>
  <si>
    <t>직불카드</t>
  </si>
  <si>
    <t>부</t>
  </si>
  <si>
    <t>[표5]</t>
    <phoneticPr fontId="7" type="noConversion"/>
  </si>
  <si>
    <t>관계</t>
    <phoneticPr fontId="9" type="noConversion"/>
  </si>
  <si>
    <t>일반의료비</t>
    <phoneticPr fontId="9" type="noConversion"/>
  </si>
  <si>
    <t>본인</t>
    <phoneticPr fontId="7" type="noConversion"/>
  </si>
  <si>
    <t>부</t>
    <phoneticPr fontId="7" type="noConversion"/>
  </si>
  <si>
    <t>모</t>
    <phoneticPr fontId="7" type="noConversion"/>
  </si>
  <si>
    <t>자</t>
    <phoneticPr fontId="7" type="noConversion"/>
  </si>
  <si>
    <t>상공카드</t>
    <phoneticPr fontId="7" type="noConversion"/>
  </si>
  <si>
    <t>사랑의원</t>
  </si>
  <si>
    <t>기상</t>
  </si>
  <si>
    <t>지역</t>
  </si>
  <si>
    <t>3월</t>
  </si>
  <si>
    <t>4월</t>
  </si>
  <si>
    <t>5월</t>
  </si>
  <si>
    <t>강수량</t>
  </si>
  <si>
    <t>강원</t>
  </si>
  <si>
    <t>경상</t>
  </si>
  <si>
    <t>전라</t>
  </si>
  <si>
    <t>충청</t>
  </si>
  <si>
    <t>경기</t>
  </si>
  <si>
    <t>제주</t>
  </si>
  <si>
    <t>최고기온</t>
  </si>
  <si>
    <t>평균온도</t>
  </si>
  <si>
    <t>습도</t>
  </si>
  <si>
    <t>꽃</t>
    <phoneticPr fontId="7" type="noConversion"/>
  </si>
  <si>
    <t>지역명</t>
  </si>
  <si>
    <t>개화일</t>
    <phoneticPr fontId="7" type="noConversion"/>
  </si>
  <si>
    <t>평년</t>
    <phoneticPr fontId="9" type="noConversion"/>
  </si>
  <si>
    <t>평년차</t>
    <phoneticPr fontId="7" type="noConversion"/>
  </si>
  <si>
    <t>개나리</t>
    <phoneticPr fontId="7" type="noConversion"/>
  </si>
  <si>
    <t>강릉</t>
  </si>
  <si>
    <t>개나리</t>
    <phoneticPr fontId="7" type="noConversion"/>
  </si>
  <si>
    <t>광주</t>
  </si>
  <si>
    <t>대구</t>
  </si>
  <si>
    <t>대전</t>
  </si>
  <si>
    <t>부산</t>
  </si>
  <si>
    <t>서귀포</t>
  </si>
  <si>
    <t>서울</t>
  </si>
  <si>
    <t>수원</t>
  </si>
  <si>
    <t>여수</t>
  </si>
  <si>
    <t>인천</t>
  </si>
  <si>
    <t>전주</t>
  </si>
  <si>
    <t>벚꽃</t>
    <phoneticPr fontId="7" type="noConversion"/>
  </si>
  <si>
    <t>진달래</t>
    <phoneticPr fontId="7" type="noConversion"/>
  </si>
  <si>
    <t>주요도시 빗물의 산도 [단위 : pH]</t>
  </si>
  <si>
    <t>[표1]</t>
    <phoneticPr fontId="7" type="noConversion"/>
  </si>
  <si>
    <t>[표2]</t>
    <phoneticPr fontId="7" type="noConversion"/>
  </si>
  <si>
    <t>학번</t>
  </si>
  <si>
    <t>성명</t>
  </si>
  <si>
    <t>결석</t>
  </si>
  <si>
    <t>지각</t>
  </si>
  <si>
    <t>출석</t>
  </si>
  <si>
    <t>과제</t>
  </si>
  <si>
    <t>평가</t>
    <phoneticPr fontId="7" type="noConversion"/>
  </si>
  <si>
    <t>비고</t>
    <phoneticPr fontId="9" type="noConversion"/>
  </si>
  <si>
    <t>홍희주</t>
  </si>
  <si>
    <t>유지연</t>
  </si>
  <si>
    <t>출석미달</t>
  </si>
  <si>
    <t>강주희</t>
  </si>
  <si>
    <t>이유진</t>
  </si>
  <si>
    <t>송새연</t>
  </si>
  <si>
    <t>정혜인</t>
  </si>
  <si>
    <t>유시현</t>
  </si>
  <si>
    <t>하영은</t>
  </si>
  <si>
    <t>이지은</t>
  </si>
  <si>
    <t>김재혁</t>
  </si>
  <si>
    <t>윤희식</t>
  </si>
  <si>
    <t>김민정</t>
  </si>
  <si>
    <t>대관령</t>
  </si>
  <si>
    <t>원주</t>
  </si>
  <si>
    <t>춘천</t>
  </si>
  <si>
    <t>조건</t>
    <phoneticPr fontId="7" type="noConversion"/>
  </si>
  <si>
    <t>입력일자</t>
    <phoneticPr fontId="7" type="noConversion"/>
  </si>
  <si>
    <t>신청자이름</t>
    <phoneticPr fontId="7" type="noConversion"/>
  </si>
  <si>
    <t>서명</t>
    <phoneticPr fontId="7" type="noConversion"/>
  </si>
  <si>
    <t>저자</t>
    <phoneticPr fontId="7" type="noConversion"/>
  </si>
  <si>
    <t>작업사항</t>
    <phoneticPr fontId="7" type="noConversion"/>
  </si>
  <si>
    <t>전체 합계 : 겨울기상</t>
  </si>
  <si>
    <t>전체 합계 : 봄기상</t>
  </si>
  <si>
    <t>합계 : 겨울기상</t>
  </si>
  <si>
    <t>합계 : 봄기상</t>
  </si>
  <si>
    <t>값</t>
  </si>
  <si>
    <t>강릉 평균</t>
  </si>
  <si>
    <t>광주 평균</t>
  </si>
  <si>
    <t>대구 평균</t>
  </si>
  <si>
    <t>대전 평균</t>
  </si>
  <si>
    <t>부산 평균</t>
  </si>
  <si>
    <t>서귀포 평균</t>
  </si>
  <si>
    <t>서울 평균</t>
  </si>
  <si>
    <t>수원 평균</t>
  </si>
  <si>
    <t>여수 평균</t>
  </si>
  <si>
    <t>인천 평균</t>
  </si>
  <si>
    <t>전주 평균</t>
  </si>
  <si>
    <t>전체 평균</t>
  </si>
  <si>
    <t>ID</t>
  </si>
  <si>
    <t>12월</t>
  </si>
  <si>
    <t>1월</t>
  </si>
  <si>
    <t>2월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</si>
</sst>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1" formatCode="_-* #,##0_-;\-* #,##0_-;_-* &quot;-&quot;_-;_-@_-"/>
    <numFmt numFmtId="176" formatCode="m&quot;월&quot;\ d&quot;일&quot;;@"/>
    <numFmt numFmtId="177" formatCode="0.0_ "/>
    <numFmt numFmtId="178" formatCode="0_ "/>
  </numFmts>
  <fonts count="2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8"/>
      <color theme="3"/>
      <name val="맑은 고딕"/>
      <family val="2"/>
      <charset val="129"/>
      <scheme val="major"/>
    </font>
    <font>
      <b/>
      <sz val="13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6500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돋움"/>
      <family val="3"/>
      <charset val="129"/>
    </font>
    <font>
      <sz val="10"/>
      <name val="Arial"/>
      <family val="2"/>
    </font>
    <font>
      <b/>
      <sz val="10"/>
      <name val="맑은 고딕"/>
      <family val="3"/>
      <charset val="129"/>
      <scheme val="major"/>
    </font>
    <font>
      <b/>
      <sz val="10"/>
      <color rgb="FF000000"/>
      <name val="맑은 고딕"/>
      <family val="3"/>
      <charset val="129"/>
      <scheme val="major"/>
    </font>
    <font>
      <sz val="10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b/>
      <sz val="18"/>
      <color theme="3"/>
      <name val="맑은 고딕"/>
      <family val="3"/>
      <charset val="129"/>
      <scheme val="major"/>
    </font>
    <font>
      <b/>
      <sz val="12"/>
      <color theme="3"/>
      <name val="맑은 고딕"/>
      <family val="2"/>
      <charset val="129"/>
      <scheme val="minor"/>
    </font>
    <font>
      <b/>
      <sz val="12"/>
      <color theme="0"/>
      <name val="맑은 고딕"/>
      <family val="2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b/>
      <sz val="11"/>
      <color theme="0"/>
      <name val="맑은 고딕"/>
      <family val="2"/>
      <charset val="129"/>
      <scheme val="minor"/>
    </font>
  </fonts>
  <fills count="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theme="4"/>
      </patternFill>
    </fill>
    <fill>
      <patternFill patternType="solid">
        <fgColor theme="8"/>
        <bgColor theme="8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</borders>
  <cellStyleXfs count="9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5" fillId="3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  <xf numFmtId="0" fontId="10" fillId="0" borderId="0"/>
    <xf numFmtId="9" fontId="10" fillId="0" borderId="0" applyFont="0" applyFill="0" applyBorder="0" applyAlignment="0" applyProtection="0"/>
  </cellStyleXfs>
  <cellXfs count="80">
    <xf numFmtId="0" fontId="0" fillId="0" borderId="0" xfId="0">
      <alignment vertical="center"/>
    </xf>
    <xf numFmtId="0" fontId="8" fillId="4" borderId="2" xfId="6" applyFont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2" xfId="7" applyFont="1" applyBorder="1" applyAlignment="1">
      <alignment horizontal="center" vertical="center"/>
    </xf>
    <xf numFmtId="0" fontId="12" fillId="0" borderId="2" xfId="7" applyFont="1" applyBorder="1" applyAlignment="1">
      <alignment horizontal="center" vertical="center" wrapText="1"/>
    </xf>
    <xf numFmtId="0" fontId="13" fillId="0" borderId="0" xfId="7" applyFont="1"/>
    <xf numFmtId="0" fontId="13" fillId="0" borderId="2" xfId="7" applyFont="1" applyBorder="1" applyAlignment="1">
      <alignment horizontal="center" vertical="center"/>
    </xf>
    <xf numFmtId="0" fontId="14" fillId="0" borderId="2" xfId="7" applyFont="1" applyBorder="1" applyAlignment="1">
      <alignment horizontal="center" wrapText="1"/>
    </xf>
    <xf numFmtId="176" fontId="14" fillId="0" borderId="2" xfId="7" applyNumberFormat="1" applyFont="1" applyBorder="1" applyAlignment="1">
      <alignment horizontal="center" wrapText="1"/>
    </xf>
    <xf numFmtId="177" fontId="14" fillId="0" borderId="2" xfId="7" applyNumberFormat="1" applyFont="1" applyBorder="1" applyAlignment="1">
      <alignment horizontal="center" wrapText="1"/>
    </xf>
    <xf numFmtId="0" fontId="13" fillId="0" borderId="0" xfId="7" applyFont="1" applyAlignment="1">
      <alignment horizontal="center" vertical="center"/>
    </xf>
    <xf numFmtId="0" fontId="13" fillId="0" borderId="0" xfId="7" applyFont="1" applyAlignment="1">
      <alignment horizontal="center"/>
    </xf>
    <xf numFmtId="0" fontId="2" fillId="0" borderId="8" xfId="2" applyBorder="1" applyAlignment="1">
      <alignment vertical="center"/>
    </xf>
    <xf numFmtId="0" fontId="15" fillId="0" borderId="8" xfId="2" applyFont="1" applyBorder="1" applyAlignment="1">
      <alignment vertical="center"/>
    </xf>
    <xf numFmtId="0" fontId="16" fillId="5" borderId="2" xfId="3" applyFont="1" applyFill="1" applyBorder="1" applyAlignment="1">
      <alignment horizontal="center" vertical="center" wrapText="1"/>
    </xf>
    <xf numFmtId="0" fontId="17" fillId="5" borderId="2" xfId="3" applyNumberFormat="1" applyFont="1" applyFill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9" fillId="0" borderId="2" xfId="0" applyFont="1" applyBorder="1" applyAlignment="1">
      <alignment vertical="center" wrapText="1"/>
    </xf>
    <xf numFmtId="178" fontId="0" fillId="0" borderId="0" xfId="1" applyNumberFormat="1" applyFont="1">
      <alignment vertical="center"/>
    </xf>
    <xf numFmtId="41" fontId="0" fillId="0" borderId="0" xfId="1" applyFont="1" applyAlignment="1">
      <alignment horizontal="center" vertical="center"/>
    </xf>
    <xf numFmtId="0" fontId="20" fillId="0" borderId="9" xfId="0" applyFont="1" applyFill="1" applyBorder="1" applyAlignment="1">
      <alignment horizontal="center"/>
    </xf>
    <xf numFmtId="0" fontId="20" fillId="0" borderId="10" xfId="0" applyFont="1" applyFill="1" applyBorder="1" applyAlignment="1">
      <alignment horizontal="center"/>
    </xf>
    <xf numFmtId="178" fontId="20" fillId="0" borderId="10" xfId="1" applyNumberFormat="1" applyFont="1" applyFill="1" applyBorder="1" applyAlignment="1">
      <alignment horizontal="center"/>
    </xf>
    <xf numFmtId="41" fontId="20" fillId="0" borderId="11" xfId="1" applyFont="1" applyFill="1" applyBorder="1" applyAlignment="1">
      <alignment horizontal="center"/>
    </xf>
    <xf numFmtId="0" fontId="0" fillId="0" borderId="2" xfId="0" applyNumberFormat="1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8" fillId="4" borderId="12" xfId="6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1" fillId="0" borderId="0" xfId="0" applyFont="1" applyFill="1">
      <alignment vertical="center"/>
    </xf>
    <xf numFmtId="0" fontId="20" fillId="0" borderId="2" xfId="7" applyFont="1" applyFill="1" applyBorder="1" applyAlignment="1">
      <alignment horizontal="center" vertical="center"/>
    </xf>
    <xf numFmtId="0" fontId="20" fillId="6" borderId="2" xfId="5" applyFont="1" applyFill="1" applyBorder="1" applyAlignment="1">
      <alignment horizontal="center" vertical="center"/>
    </xf>
    <xf numFmtId="0" fontId="21" fillId="0" borderId="0" xfId="5" applyFont="1" applyFill="1" applyBorder="1" applyAlignment="1">
      <alignment horizontal="center" vertical="center"/>
    </xf>
    <xf numFmtId="0" fontId="21" fillId="0" borderId="4" xfId="0" applyFont="1" applyFill="1" applyBorder="1" applyAlignment="1">
      <alignment horizontal="center" vertical="center" wrapText="1"/>
    </xf>
    <xf numFmtId="0" fontId="21" fillId="0" borderId="4" xfId="0" applyFont="1" applyFill="1" applyBorder="1" applyAlignment="1">
      <alignment vertical="center" wrapText="1"/>
    </xf>
    <xf numFmtId="3" fontId="21" fillId="0" borderId="5" xfId="0" applyNumberFormat="1" applyFont="1" applyFill="1" applyBorder="1" applyAlignment="1">
      <alignment horizontal="right" vertical="center" wrapText="1"/>
    </xf>
    <xf numFmtId="3" fontId="21" fillId="0" borderId="3" xfId="1" applyNumberFormat="1" applyFont="1" applyFill="1" applyBorder="1">
      <alignment vertical="center"/>
    </xf>
    <xf numFmtId="3" fontId="21" fillId="0" borderId="0" xfId="1" applyNumberFormat="1" applyFont="1" applyFill="1" applyBorder="1">
      <alignment vertical="center"/>
    </xf>
    <xf numFmtId="0" fontId="21" fillId="0" borderId="2" xfId="0" applyFont="1" applyFill="1" applyBorder="1" applyAlignment="1">
      <alignment horizontal="center" vertical="center" wrapText="1"/>
    </xf>
    <xf numFmtId="0" fontId="21" fillId="0" borderId="6" xfId="7" applyFont="1" applyFill="1" applyBorder="1" applyAlignment="1">
      <alignment horizontal="center" vertical="center" wrapText="1"/>
    </xf>
    <xf numFmtId="0" fontId="21" fillId="0" borderId="6" xfId="7" applyFont="1" applyFill="1" applyBorder="1" applyAlignment="1">
      <alignment vertical="center" wrapText="1"/>
    </xf>
    <xf numFmtId="3" fontId="21" fillId="0" borderId="7" xfId="7" applyNumberFormat="1" applyFont="1" applyFill="1" applyBorder="1" applyAlignment="1">
      <alignment horizontal="right" vertical="center" wrapText="1"/>
    </xf>
    <xf numFmtId="3" fontId="21" fillId="0" borderId="2" xfId="1" applyNumberFormat="1" applyFont="1" applyFill="1" applyBorder="1">
      <alignment vertical="center"/>
    </xf>
    <xf numFmtId="0" fontId="21" fillId="0" borderId="2" xfId="7" applyFont="1" applyFill="1" applyBorder="1" applyAlignment="1">
      <alignment horizontal="center" vertical="center" wrapText="1"/>
    </xf>
    <xf numFmtId="0" fontId="21" fillId="0" borderId="6" xfId="0" applyFont="1" applyFill="1" applyBorder="1" applyAlignment="1">
      <alignment horizontal="center" vertical="center" wrapText="1"/>
    </xf>
    <xf numFmtId="0" fontId="21" fillId="0" borderId="6" xfId="0" applyFont="1" applyFill="1" applyBorder="1" applyAlignment="1">
      <alignment vertical="center" wrapText="1"/>
    </xf>
    <xf numFmtId="3" fontId="21" fillId="0" borderId="7" xfId="0" applyNumberFormat="1" applyFont="1" applyFill="1" applyBorder="1" applyAlignment="1">
      <alignment horizontal="right" vertical="center" wrapText="1"/>
    </xf>
    <xf numFmtId="0" fontId="21" fillId="0" borderId="0" xfId="0" applyFont="1" applyFill="1" applyAlignment="1">
      <alignment horizontal="right" vertical="center"/>
    </xf>
    <xf numFmtId="0" fontId="21" fillId="0" borderId="2" xfId="4" applyFont="1" applyFill="1" applyBorder="1" applyAlignment="1">
      <alignment vertical="center" wrapText="1"/>
    </xf>
    <xf numFmtId="3" fontId="21" fillId="0" borderId="2" xfId="1" applyNumberFormat="1" applyFont="1" applyFill="1" applyBorder="1" applyAlignment="1">
      <alignment horizontal="right" vertical="center"/>
    </xf>
    <xf numFmtId="0" fontId="21" fillId="0" borderId="0" xfId="4" applyFont="1" applyFill="1" applyBorder="1" applyAlignment="1">
      <alignment vertical="center" wrapText="1"/>
    </xf>
    <xf numFmtId="0" fontId="21" fillId="0" borderId="2" xfId="0" applyFont="1" applyFill="1" applyBorder="1" applyAlignment="1">
      <alignment horizontal="center" vertical="center"/>
    </xf>
    <xf numFmtId="0" fontId="21" fillId="0" borderId="0" xfId="0" applyFont="1" applyFill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12" fillId="0" borderId="2" xfId="7" applyFont="1" applyBorder="1" applyAlignment="1">
      <alignment horizontal="center" wrapText="1"/>
    </xf>
    <xf numFmtId="0" fontId="13" fillId="0" borderId="0" xfId="7" applyFont="1" applyBorder="1" applyAlignment="1">
      <alignment horizontal="center" vertical="center"/>
    </xf>
    <xf numFmtId="176" fontId="14" fillId="0" borderId="0" xfId="7" applyNumberFormat="1" applyFont="1" applyBorder="1" applyAlignment="1">
      <alignment horizontal="center" wrapText="1"/>
    </xf>
    <xf numFmtId="177" fontId="14" fillId="0" borderId="0" xfId="7" applyNumberFormat="1" applyFont="1" applyBorder="1" applyAlignment="1">
      <alignment horizontal="center" wrapText="1"/>
    </xf>
    <xf numFmtId="0" fontId="12" fillId="0" borderId="0" xfId="7" applyFont="1" applyBorder="1" applyAlignment="1">
      <alignment horizontal="center" wrapText="1"/>
    </xf>
    <xf numFmtId="176" fontId="12" fillId="0" borderId="2" xfId="7" applyNumberFormat="1" applyFont="1" applyBorder="1" applyAlignment="1">
      <alignment horizontal="center" wrapText="1"/>
    </xf>
    <xf numFmtId="0" fontId="0" fillId="0" borderId="13" xfId="0" applyFont="1" applyBorder="1">
      <alignment vertical="center"/>
    </xf>
    <xf numFmtId="0" fontId="0" fillId="0" borderId="14" xfId="0" applyFont="1" applyBorder="1">
      <alignment vertical="center"/>
    </xf>
    <xf numFmtId="0" fontId="0" fillId="0" borderId="15" xfId="0" applyFont="1" applyBorder="1">
      <alignment vertical="center"/>
    </xf>
    <xf numFmtId="0" fontId="23" fillId="7" borderId="16" xfId="0" applyFont="1" applyFill="1" applyBorder="1">
      <alignment vertical="center"/>
    </xf>
    <xf numFmtId="0" fontId="23" fillId="7" borderId="17" xfId="0" applyFont="1" applyFill="1" applyBorder="1">
      <alignment vertical="center"/>
    </xf>
    <xf numFmtId="0" fontId="23" fillId="7" borderId="18" xfId="0" applyFont="1" applyFill="1" applyBorder="1">
      <alignment vertical="center"/>
    </xf>
    <xf numFmtId="0" fontId="0" fillId="8" borderId="16" xfId="0" applyFont="1" applyFill="1" applyBorder="1">
      <alignment vertical="center"/>
    </xf>
    <xf numFmtId="0" fontId="0" fillId="8" borderId="17" xfId="0" applyFont="1" applyFill="1" applyBorder="1">
      <alignment vertical="center"/>
    </xf>
    <xf numFmtId="0" fontId="0" fillId="8" borderId="18" xfId="0" applyFont="1" applyFill="1" applyBorder="1">
      <alignment vertical="center"/>
    </xf>
    <xf numFmtId="0" fontId="0" fillId="0" borderId="16" xfId="0" applyFont="1" applyBorder="1">
      <alignment vertical="center"/>
    </xf>
    <xf numFmtId="0" fontId="0" fillId="0" borderId="17" xfId="0" applyFont="1" applyBorder="1">
      <alignment vertical="center"/>
    </xf>
    <xf numFmtId="0" fontId="0" fillId="0" borderId="18" xfId="0" applyFont="1" applyBorder="1">
      <alignment vertical="center"/>
    </xf>
    <xf numFmtId="0" fontId="23" fillId="7" borderId="19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</cellXfs>
  <cellStyles count="9">
    <cellStyle name="강조색1" xfId="6" builtinId="29"/>
    <cellStyle name="백분율 2" xfId="8"/>
    <cellStyle name="보통" xfId="5" builtinId="28"/>
    <cellStyle name="쉼표 [0]" xfId="1" builtinId="6"/>
    <cellStyle name="제목" xfId="2" builtinId="15"/>
    <cellStyle name="제목 2" xfId="3" builtinId="17"/>
    <cellStyle name="좋음" xfId="4" builtinId="26"/>
    <cellStyle name="표준" xfId="0" builtinId="0"/>
    <cellStyle name="표준 2" xfId="7"/>
  </cellStyles>
  <dxfs count="9">
    <dxf>
      <font>
        <b val="0"/>
        <i/>
      </font>
      <fill>
        <patternFill>
          <bgColor theme="0" tint="-0.14996795556505021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  <dxf>
      <font>
        <b val="0"/>
        <i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'기타작업-1'!$B$2</c:f>
          <c:strCache>
            <c:ptCount val="1"/>
            <c:pt idx="0">
              <c:v>주요도시 빗물의 산도 [단위 : pH]</c:v>
            </c:pt>
          </c:strCache>
        </c:strRef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'기타작업-1'!$B$4</c:f>
              <c:strCache>
                <c:ptCount val="1"/>
                <c:pt idx="0">
                  <c:v>서울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2007</c:v>
                </c:pt>
                <c:pt idx="1">
                  <c:v>2009</c:v>
                </c:pt>
                <c:pt idx="2">
                  <c:v>2011</c:v>
                </c:pt>
                <c:pt idx="3">
                  <c:v>2013</c:v>
                </c:pt>
              </c:numCache>
            </c:numRef>
          </c:cat>
          <c:val>
            <c:numRef>
              <c:f>('기타작업-1'!$D$4,'기타작업-1'!$F$4,'기타작업-1'!$H$4,'기타작업-1'!$J$4)</c:f>
              <c:numCache>
                <c:formatCode>General</c:formatCode>
                <c:ptCount val="4"/>
                <c:pt idx="0">
                  <c:v>4.8</c:v>
                </c:pt>
                <c:pt idx="1">
                  <c:v>4.7</c:v>
                </c:pt>
                <c:pt idx="2">
                  <c:v>4.5999999999999996</c:v>
                </c:pt>
                <c:pt idx="3">
                  <c:v>4.4000000000000004</c:v>
                </c:pt>
              </c:numCache>
            </c:numRef>
          </c:val>
          <c:smooth val="0"/>
        </c:ser>
        <c:ser>
          <c:idx val="5"/>
          <c:order val="1"/>
          <c:tx>
            <c:strRef>
              <c:f>'기타작업-1'!$B$9</c:f>
              <c:strCache>
                <c:ptCount val="1"/>
                <c:pt idx="0">
                  <c:v>대전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2007</c:v>
                </c:pt>
                <c:pt idx="1">
                  <c:v>2009</c:v>
                </c:pt>
                <c:pt idx="2">
                  <c:v>2011</c:v>
                </c:pt>
                <c:pt idx="3">
                  <c:v>2013</c:v>
                </c:pt>
              </c:numCache>
            </c:numRef>
          </c:cat>
          <c:val>
            <c:numRef>
              <c:f>('기타작업-1'!$D$9,'기타작업-1'!$F$9,'기타작업-1'!$H$9,'기타작업-1'!$J$9)</c:f>
              <c:numCache>
                <c:formatCode>General</c:formatCode>
                <c:ptCount val="4"/>
                <c:pt idx="0">
                  <c:v>4.7</c:v>
                </c:pt>
                <c:pt idx="1">
                  <c:v>4.5999999999999996</c:v>
                </c:pt>
                <c:pt idx="2">
                  <c:v>4.9000000000000004</c:v>
                </c:pt>
                <c:pt idx="3">
                  <c:v>4.8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'기타작업-1'!$B$6</c:f>
              <c:strCache>
                <c:ptCount val="1"/>
                <c:pt idx="0">
                  <c:v>대구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2007</c:v>
                </c:pt>
                <c:pt idx="1">
                  <c:v>2009</c:v>
                </c:pt>
                <c:pt idx="2">
                  <c:v>2011</c:v>
                </c:pt>
                <c:pt idx="3">
                  <c:v>2013</c:v>
                </c:pt>
              </c:numCache>
            </c:numRef>
          </c:cat>
          <c:val>
            <c:numRef>
              <c:f>('기타작업-1'!$D$6,'기타작업-1'!$F$6,'기타작업-1'!$H$6,'기타작업-1'!$J$6)</c:f>
              <c:numCache>
                <c:formatCode>General</c:formatCode>
                <c:ptCount val="4"/>
                <c:pt idx="0">
                  <c:v>5.6</c:v>
                </c:pt>
                <c:pt idx="1">
                  <c:v>5</c:v>
                </c:pt>
                <c:pt idx="2">
                  <c:v>4.7</c:v>
                </c:pt>
                <c:pt idx="3">
                  <c:v>5</c:v>
                </c:pt>
              </c:numCache>
            </c:numRef>
          </c:val>
          <c:smooth val="0"/>
        </c:ser>
        <c:ser>
          <c:idx val="1"/>
          <c:order val="3"/>
          <c:tx>
            <c:strRef>
              <c:f>'기타작업-1'!$B$5</c:f>
              <c:strCache>
                <c:ptCount val="1"/>
                <c:pt idx="0">
                  <c:v>부산</c:v>
                </c:pt>
              </c:strCache>
            </c:strRef>
          </c:tx>
          <c:cat>
            <c:numRef>
              <c:f>('기타작업-1'!$D$3,'기타작업-1'!$F$3,'기타작업-1'!$H$3,'기타작업-1'!$J$3)</c:f>
              <c:numCache>
                <c:formatCode>General</c:formatCode>
                <c:ptCount val="4"/>
                <c:pt idx="0">
                  <c:v>2007</c:v>
                </c:pt>
                <c:pt idx="1">
                  <c:v>2009</c:v>
                </c:pt>
                <c:pt idx="2">
                  <c:v>2011</c:v>
                </c:pt>
                <c:pt idx="3">
                  <c:v>2013</c:v>
                </c:pt>
              </c:numCache>
            </c:numRef>
          </c:cat>
          <c:val>
            <c:numRef>
              <c:f>('기타작업-1'!$D$5,'기타작업-1'!$F$5,'기타작업-1'!$H$5,'기타작업-1'!$J$5)</c:f>
              <c:numCache>
                <c:formatCode>General</c:formatCode>
                <c:ptCount val="4"/>
                <c:pt idx="0">
                  <c:v>5.5</c:v>
                </c:pt>
                <c:pt idx="1">
                  <c:v>4.7</c:v>
                </c:pt>
                <c:pt idx="2">
                  <c:v>4.9000000000000004</c:v>
                </c:pt>
                <c:pt idx="3">
                  <c:v>4.9000000000000004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904832"/>
        <c:axId val="156936448"/>
      </c:lineChart>
      <c:catAx>
        <c:axId val="156904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crossAx val="156936448"/>
        <c:crosses val="autoZero"/>
        <c:auto val="1"/>
        <c:lblAlgn val="ctr"/>
        <c:lblOffset val="100"/>
        <c:noMultiLvlLbl val="0"/>
      </c:catAx>
      <c:valAx>
        <c:axId val="156936448"/>
        <c:scaling>
          <c:orientation val="minMax"/>
          <c:max val="5.8"/>
          <c:min val="4.2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56904832"/>
        <c:crosses val="autoZero"/>
        <c:crossBetween val="between"/>
        <c:majorUnit val="0.2"/>
      </c:valAx>
    </c:plotArea>
    <c:legend>
      <c:legendPos val="b"/>
      <c:overlay val="0"/>
    </c:legend>
    <c:plotVisOnly val="1"/>
    <c:dispBlanksAs val="gap"/>
    <c:showDLblsOverMax val="0"/>
  </c:chart>
  <c:spPr>
    <a:effectLst>
      <a:innerShdw blurRad="114300">
        <a:prstClr val="black"/>
      </a:innerShdw>
    </a:effectLst>
  </c:spPr>
  <c:txPr>
    <a:bodyPr/>
    <a:lstStyle/>
    <a:p>
      <a:pPr>
        <a:defRPr sz="1500"/>
      </a:pPr>
      <a:endParaRPr lang="ko-KR"/>
    </a:p>
  </c:txPr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지역별 부분합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19049</xdr:colOff>
      <xdr:row>11</xdr:row>
      <xdr:rowOff>28574</xdr:rowOff>
    </xdr:from>
    <xdr:to>
      <xdr:col>14</xdr:col>
      <xdr:colOff>9524</xdr:colOff>
      <xdr:row>33</xdr:row>
      <xdr:rowOff>209549</xdr:rowOff>
    </xdr:to>
    <xdr:graphicFrame macro="">
      <xdr:nvGraphicFramePr>
        <xdr:cNvPr id="2" name="차트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</xdr:row>
          <xdr:rowOff>19050</xdr:rowOff>
        </xdr:from>
        <xdr:to>
          <xdr:col>5</xdr:col>
          <xdr:colOff>9525</xdr:colOff>
          <xdr:row>3</xdr:row>
          <xdr:rowOff>19050</xdr:rowOff>
        </xdr:to>
        <xdr:sp macro="" textlink="">
          <xdr:nvSpPr>
            <xdr:cNvPr id="2049" name="cmd등록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김우경" refreshedDate="42983.796385532405" createdVersion="4" refreshedVersion="4" minRefreshableVersion="3" recordCount="88">
  <cacheSource type="worksheet">
    <worksheetSource ref="B2:J90" sheet="분석작업-1"/>
  </cacheSource>
  <cacheFields count="11">
    <cacheField name="ID" numFmtId="0">
      <sharedItems containsSemiMixedTypes="0" containsString="0" containsNumber="1" containsInteger="1" minValue="1" maxValue="88"/>
    </cacheField>
    <cacheField name="기상" numFmtId="0">
      <sharedItems count="4">
        <s v="강수량"/>
        <s v="최고기온"/>
        <s v="평균온도"/>
        <s v="습도"/>
      </sharedItems>
    </cacheField>
    <cacheField name="지역" numFmtId="0">
      <sharedItems count="6">
        <s v="강원"/>
        <s v="경상"/>
        <s v="전라"/>
        <s v="충청"/>
        <s v="경기"/>
        <s v="제주"/>
      </sharedItems>
    </cacheField>
    <cacheField name="12월" numFmtId="0">
      <sharedItems containsSemiMixedTypes="0" containsString="0" containsNumber="1" minValue="-4.2" maxValue="72"/>
    </cacheField>
    <cacheField name="1월" numFmtId="0">
      <sharedItems containsSemiMixedTypes="0" containsString="0" containsNumber="1" minValue="-7" maxValue="72.5"/>
    </cacheField>
    <cacheField name="2월" numFmtId="0">
      <sharedItems containsSemiMixedTypes="0" containsString="0" containsNumber="1" minValue="-4.7" maxValue="71"/>
    </cacheField>
    <cacheField name="3월" numFmtId="0">
      <sharedItems containsSemiMixedTypes="0" containsString="0" containsNumber="1" minValue="0" maxValue="94.4"/>
    </cacheField>
    <cacheField name="4월" numFmtId="0">
      <sharedItems containsSemiMixedTypes="0" containsString="0" containsNumber="1" minValue="6.9" maxValue="136.6"/>
    </cacheField>
    <cacheField name="5월" numFmtId="0">
      <sharedItems containsSemiMixedTypes="0" containsString="0" containsNumber="1" minValue="12" maxValue="173.2"/>
    </cacheField>
    <cacheField name="겨울기상" numFmtId="0" formula="'12월'+'1월'+'2월'" databaseField="0"/>
    <cacheField name="봄기상" numFmtId="0" formula="'3월'+'4월'+'5월'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8">
  <r>
    <n v="1"/>
    <x v="0"/>
    <x v="0"/>
    <n v="40.299999999999997"/>
    <n v="53.1"/>
    <n v="43.9"/>
    <n v="68.599999999999994"/>
    <n v="72.900000000000006"/>
    <n v="91"/>
  </r>
  <r>
    <n v="2"/>
    <x v="0"/>
    <x v="1"/>
    <n v="34.5"/>
    <n v="42.8"/>
    <n v="42.7"/>
    <n v="77.5"/>
    <n v="88.7"/>
    <n v="114.1"/>
  </r>
  <r>
    <n v="3"/>
    <x v="0"/>
    <x v="2"/>
    <n v="37"/>
    <n v="34.200000000000003"/>
    <n v="47.8"/>
    <n v="61.9"/>
    <n v="81.8"/>
    <n v="98.5"/>
  </r>
  <r>
    <n v="4"/>
    <x v="0"/>
    <x v="0"/>
    <n v="39.200000000000003"/>
    <n v="66.599999999999994"/>
    <n v="53.8"/>
    <n v="87.5"/>
    <n v="93.7"/>
    <n v="127.3"/>
  </r>
  <r>
    <n v="5"/>
    <x v="0"/>
    <x v="1"/>
    <n v="17.5"/>
    <n v="19.2"/>
    <n v="25.1"/>
    <n v="44.7"/>
    <n v="62.4"/>
    <n v="87.2"/>
  </r>
  <r>
    <n v="6"/>
    <x v="0"/>
    <x v="3"/>
    <n v="27.7"/>
    <n v="26.5"/>
    <n v="35.700000000000003"/>
    <n v="54.5"/>
    <n v="78.7"/>
    <n v="102.6"/>
  </r>
  <r>
    <n v="7"/>
    <x v="0"/>
    <x v="2"/>
    <n v="33"/>
    <n v="31.2"/>
    <n v="38.4"/>
    <n v="64.2"/>
    <n v="69.400000000000006"/>
    <n v="91.8"/>
  </r>
  <r>
    <n v="8"/>
    <x v="0"/>
    <x v="1"/>
    <n v="26.3"/>
    <n v="34.1"/>
    <n v="48.9"/>
    <n v="83.5"/>
    <n v="136.6"/>
    <n v="173.2"/>
  </r>
  <r>
    <n v="9"/>
    <x v="0"/>
    <x v="3"/>
    <n v="29.9"/>
    <n v="25.3"/>
    <n v="26.7"/>
    <n v="44.2"/>
    <n v="72.099999999999994"/>
    <n v="112.6"/>
  </r>
  <r>
    <n v="10"/>
    <x v="0"/>
    <x v="4"/>
    <n v="20.9"/>
    <n v="17.899999999999999"/>
    <n v="26.9"/>
    <n v="42.9"/>
    <n v="70.099999999999994"/>
    <n v="113.7"/>
  </r>
  <r>
    <n v="11"/>
    <x v="0"/>
    <x v="4"/>
    <n v="22.3"/>
    <n v="19"/>
    <n v="25.5"/>
    <n v="43.8"/>
    <n v="64.599999999999994"/>
    <n v="101.7"/>
  </r>
  <r>
    <n v="12"/>
    <x v="0"/>
    <x v="1"/>
    <n v="18"/>
    <n v="18.2"/>
    <n v="23.5"/>
    <n v="44.2"/>
    <n v="69.3"/>
    <n v="96.3"/>
  </r>
  <r>
    <n v="13"/>
    <x v="0"/>
    <x v="0"/>
    <n v="23.5"/>
    <n v="19.2"/>
    <n v="26.9"/>
    <n v="47.9"/>
    <n v="69.099999999999994"/>
    <n v="93.9"/>
  </r>
  <r>
    <n v="14"/>
    <x v="0"/>
    <x v="4"/>
    <n v="18.8"/>
    <n v="17.3"/>
    <n v="22.5"/>
    <n v="37.6"/>
    <n v="60.9"/>
    <n v="106.9"/>
  </r>
  <r>
    <n v="15"/>
    <x v="0"/>
    <x v="2"/>
    <n v="32.299999999999997"/>
    <n v="29"/>
    <n v="38.200000000000003"/>
    <n v="52.5"/>
    <n v="76.400000000000006"/>
    <n v="88.5"/>
  </r>
  <r>
    <n v="16"/>
    <x v="0"/>
    <x v="5"/>
    <n v="52.1"/>
    <n v="72.5"/>
    <n v="55.2"/>
    <n v="94.4"/>
    <n v="88.3"/>
    <n v="104.7"/>
  </r>
  <r>
    <n v="17"/>
    <x v="0"/>
    <x v="2"/>
    <n v="22.6"/>
    <n v="29"/>
    <n v="44.3"/>
    <n v="74.099999999999994"/>
    <n v="116.7"/>
    <n v="143.6"/>
  </r>
  <r>
    <n v="18"/>
    <x v="0"/>
    <x v="3"/>
    <n v="25.2"/>
    <n v="22.2"/>
    <n v="27.8"/>
    <n v="45.5"/>
    <n v="71.3"/>
    <n v="95.2"/>
  </r>
  <r>
    <n v="19"/>
    <x v="0"/>
    <x v="3"/>
    <n v="24"/>
    <n v="23.5"/>
    <n v="33.5"/>
    <n v="50.6"/>
    <n v="72.900000000000006"/>
    <n v="90.4"/>
  </r>
  <r>
    <n v="20"/>
    <x v="0"/>
    <x v="0"/>
    <n v="22.3"/>
    <n v="19.100000000000001"/>
    <n v="24.7"/>
    <n v="37.299999999999997"/>
    <n v="66"/>
    <n v="106.5"/>
  </r>
  <r>
    <n v="21"/>
    <x v="0"/>
    <x v="1"/>
    <n v="25.9"/>
    <n v="39.200000000000003"/>
    <n v="33.799999999999997"/>
    <n v="57"/>
    <n v="70.599999999999994"/>
    <n v="101.6"/>
  </r>
  <r>
    <n v="22"/>
    <x v="0"/>
    <x v="2"/>
    <n v="16.7"/>
    <n v="15.5"/>
    <n v="23.3"/>
    <n v="34.200000000000003"/>
    <n v="56.8"/>
    <n v="71.7"/>
  </r>
  <r>
    <n v="23"/>
    <x v="1"/>
    <x v="0"/>
    <n v="8"/>
    <n v="5.2"/>
    <n v="7.3"/>
    <n v="11.3"/>
    <n v="18"/>
    <n v="22.2"/>
  </r>
  <r>
    <n v="24"/>
    <x v="1"/>
    <x v="1"/>
    <n v="11.2"/>
    <n v="8.6"/>
    <n v="9.4"/>
    <n v="12.4"/>
    <n v="16.5"/>
    <n v="20.100000000000001"/>
  </r>
  <r>
    <n v="25"/>
    <x v="1"/>
    <x v="2"/>
    <n v="8.1999999999999993"/>
    <n v="5.7"/>
    <n v="8.3000000000000007"/>
    <n v="13.3"/>
    <n v="19.8"/>
    <n v="24.3"/>
  </r>
  <r>
    <n v="26"/>
    <x v="1"/>
    <x v="0"/>
    <n v="0.8"/>
    <n v="-1.9"/>
    <n v="0.5"/>
    <n v="4.9000000000000004"/>
    <n v="12.8"/>
    <n v="17.7"/>
  </r>
  <r>
    <n v="27"/>
    <x v="1"/>
    <x v="1"/>
    <n v="8.3000000000000007"/>
    <n v="6"/>
    <n v="8.9"/>
    <n v="13.8"/>
    <n v="20.7"/>
    <n v="25.3"/>
  </r>
  <r>
    <n v="28"/>
    <x v="1"/>
    <x v="3"/>
    <n v="6.6"/>
    <n v="4.0999999999999996"/>
    <n v="7"/>
    <n v="12.3"/>
    <n v="19.399999999999999"/>
    <n v="24.1"/>
  </r>
  <r>
    <n v="29"/>
    <x v="1"/>
    <x v="2"/>
    <n v="8.8000000000000007"/>
    <n v="6.3"/>
    <n v="8"/>
    <n v="12"/>
    <n v="17.8"/>
    <n v="22.2"/>
  </r>
  <r>
    <n v="30"/>
    <x v="1"/>
    <x v="1"/>
    <n v="10.6"/>
    <n v="8.1999999999999993"/>
    <n v="10.199999999999999"/>
    <n v="13.6"/>
    <n v="18.3"/>
    <n v="21.7"/>
  </r>
  <r>
    <n v="31"/>
    <x v="1"/>
    <x v="3"/>
    <n v="6.1"/>
    <n v="3.5"/>
    <n v="5.7"/>
    <n v="10.6"/>
    <n v="17.3"/>
    <n v="22.2"/>
  </r>
  <r>
    <n v="32"/>
    <x v="1"/>
    <x v="4"/>
    <n v="4.5"/>
    <n v="2.1"/>
    <n v="5.2"/>
    <n v="10.6"/>
    <n v="17.8"/>
    <n v="23.2"/>
  </r>
  <r>
    <n v="33"/>
    <x v="1"/>
    <x v="4"/>
    <n v="5.2"/>
    <n v="2.7"/>
    <n v="5.5"/>
    <n v="10.9"/>
    <n v="18"/>
    <n v="23.1"/>
  </r>
  <r>
    <n v="34"/>
    <x v="1"/>
    <x v="1"/>
    <n v="6.2"/>
    <n v="3.9"/>
    <n v="6.9"/>
    <n v="12.2"/>
    <n v="19.399999999999999"/>
    <n v="24.2"/>
  </r>
  <r>
    <n v="35"/>
    <x v="1"/>
    <x v="0"/>
    <n v="4.5999999999999996"/>
    <n v="2.4"/>
    <n v="5.6"/>
    <n v="11.4"/>
    <n v="19.100000000000001"/>
    <n v="24"/>
  </r>
  <r>
    <n v="36"/>
    <x v="1"/>
    <x v="4"/>
    <n v="5.0999999999999996"/>
    <n v="2.5"/>
    <n v="5.0999999999999996"/>
    <n v="10.1"/>
    <n v="16.5"/>
    <n v="21.7"/>
  </r>
  <r>
    <n v="37"/>
    <x v="1"/>
    <x v="2"/>
    <n v="7.3"/>
    <n v="4.9000000000000004"/>
    <n v="7.4"/>
    <n v="12.7"/>
    <n v="19.7"/>
    <n v="24.6"/>
  </r>
  <r>
    <n v="38"/>
    <x v="1"/>
    <x v="5"/>
    <n v="11.1"/>
    <n v="8.6"/>
    <n v="9.8000000000000007"/>
    <n v="13.1"/>
    <n v="17.7"/>
    <n v="21.7"/>
  </r>
  <r>
    <n v="39"/>
    <x v="1"/>
    <x v="2"/>
    <n v="9.6"/>
    <n v="7.2"/>
    <n v="9.6999999999999993"/>
    <n v="14"/>
    <n v="20.100000000000001"/>
    <n v="24.5"/>
  </r>
  <r>
    <n v="40"/>
    <x v="1"/>
    <x v="3"/>
    <n v="5.8"/>
    <n v="3.4"/>
    <n v="6.5"/>
    <n v="12.2"/>
    <n v="19.600000000000001"/>
    <n v="24.3"/>
  </r>
  <r>
    <n v="41"/>
    <x v="1"/>
    <x v="3"/>
    <n v="5.6"/>
    <n v="3.1"/>
    <n v="6.1"/>
    <n v="11.6"/>
    <n v="18.899999999999999"/>
    <n v="23.5"/>
  </r>
  <r>
    <n v="42"/>
    <x v="1"/>
    <x v="0"/>
    <n v="3.9"/>
    <n v="1.9"/>
    <n v="5.6"/>
    <n v="11.3"/>
    <n v="19"/>
    <n v="23.9"/>
  </r>
  <r>
    <n v="43"/>
    <x v="1"/>
    <x v="1"/>
    <n v="9.1999999999999993"/>
    <n v="6.8"/>
    <n v="9.1"/>
    <n v="13"/>
    <n v="19.100000000000001"/>
    <n v="23.1"/>
  </r>
  <r>
    <n v="44"/>
    <x v="1"/>
    <x v="2"/>
    <n v="8.1"/>
    <n v="5.3"/>
    <n v="6.3"/>
    <n v="9.4"/>
    <n v="14.2"/>
    <n v="18.600000000000001"/>
  </r>
  <r>
    <n v="45"/>
    <x v="2"/>
    <x v="0"/>
    <n v="3.5"/>
    <n v="0.9"/>
    <n v="2.8"/>
    <n v="6.7"/>
    <n v="13.1"/>
    <n v="17.5"/>
  </r>
  <r>
    <n v="46"/>
    <x v="2"/>
    <x v="1"/>
    <n v="8.6"/>
    <n v="6.2"/>
    <n v="6.7"/>
    <n v="9.3000000000000007"/>
    <n v="13.3"/>
    <n v="16.8"/>
  </r>
  <r>
    <n v="47"/>
    <x v="2"/>
    <x v="2"/>
    <n v="3.3"/>
    <n v="1.1000000000000001"/>
    <n v="2.9"/>
    <n v="7.3"/>
    <n v="13.3"/>
    <n v="18.399999999999999"/>
  </r>
  <r>
    <n v="48"/>
    <x v="2"/>
    <x v="0"/>
    <n v="-4.2"/>
    <n v="-7"/>
    <n v="-4.7"/>
    <n v="0"/>
    <n v="6.9"/>
    <n v="12"/>
  </r>
  <r>
    <n v="49"/>
    <x v="2"/>
    <x v="1"/>
    <n v="3.1"/>
    <n v="1.1000000000000001"/>
    <n v="3.5"/>
    <n v="8.1"/>
    <n v="14.4"/>
    <n v="19.2"/>
  </r>
  <r>
    <n v="50"/>
    <x v="2"/>
    <x v="3"/>
    <n v="1.2"/>
    <n v="-1"/>
    <n v="1.3"/>
    <n v="6.3"/>
    <n v="12.9"/>
    <n v="18.100000000000001"/>
  </r>
  <r>
    <n v="51"/>
    <x v="2"/>
    <x v="2"/>
    <n v="4.4000000000000004"/>
    <n v="2"/>
    <n v="3.2"/>
    <n v="6.9"/>
    <n v="12.4"/>
    <n v="17.3"/>
  </r>
  <r>
    <n v="52"/>
    <x v="2"/>
    <x v="1"/>
    <n v="6.1"/>
    <n v="3.6"/>
    <n v="5.4"/>
    <n v="8.9"/>
    <n v="13.7"/>
    <n v="17.5"/>
  </r>
  <r>
    <n v="53"/>
    <x v="2"/>
    <x v="3"/>
    <n v="0.9"/>
    <n v="-1.6"/>
    <n v="0.1"/>
    <n v="4.7"/>
    <n v="10.9"/>
    <n v="16.399999999999999"/>
  </r>
  <r>
    <n v="54"/>
    <x v="2"/>
    <x v="4"/>
    <n v="0.6"/>
    <n v="-1.8"/>
    <n v="0.9"/>
    <n v="5.9"/>
    <n v="12.6"/>
    <n v="18"/>
  </r>
  <r>
    <n v="55"/>
    <x v="2"/>
    <x v="4"/>
    <n v="0.3"/>
    <n v="-2.1"/>
    <n v="0.2"/>
    <n v="5.4"/>
    <n v="11.9"/>
    <n v="17.399999999999999"/>
  </r>
  <r>
    <n v="56"/>
    <x v="2"/>
    <x v="1"/>
    <n v="0.1"/>
    <n v="-1.9"/>
    <n v="0.6"/>
    <n v="5.7"/>
    <n v="12.3"/>
    <n v="17.399999999999999"/>
  </r>
  <r>
    <n v="57"/>
    <x v="2"/>
    <x v="0"/>
    <n v="-1"/>
    <n v="-3.3"/>
    <n v="-0.6"/>
    <n v="5.0999999999999996"/>
    <n v="12.1"/>
    <n v="17.5"/>
  </r>
  <r>
    <n v="58"/>
    <x v="2"/>
    <x v="4"/>
    <n v="1.1000000000000001"/>
    <n v="-1.4"/>
    <n v="0.8"/>
    <n v="5.5"/>
    <n v="11.5"/>
    <n v="16.600000000000001"/>
  </r>
  <r>
    <n v="59"/>
    <x v="2"/>
    <x v="2"/>
    <n v="2.4"/>
    <n v="0.1"/>
    <n v="1.9"/>
    <n v="6.6"/>
    <n v="12.9"/>
    <n v="18.3"/>
  </r>
  <r>
    <n v="60"/>
    <x v="2"/>
    <x v="5"/>
    <n v="8.4"/>
    <n v="6.1"/>
    <n v="6.8"/>
    <n v="9.6"/>
    <n v="14"/>
    <n v="17.899999999999999"/>
  </r>
  <r>
    <n v="61"/>
    <x v="2"/>
    <x v="2"/>
    <n v="2.2000000000000002"/>
    <n v="0.4"/>
    <n v="2.6"/>
    <n v="7.1"/>
    <n v="12.9"/>
    <n v="17.899999999999999"/>
  </r>
  <r>
    <n v="62"/>
    <x v="2"/>
    <x v="3"/>
    <n v="0.7"/>
    <n v="-1.6"/>
    <n v="0.8"/>
    <n v="6.1"/>
    <n v="12.9"/>
    <n v="18.2"/>
  </r>
  <r>
    <n v="63"/>
    <x v="2"/>
    <x v="3"/>
    <n v="0.4"/>
    <n v="-1.7"/>
    <n v="0.5"/>
    <n v="5.4"/>
    <n v="12.1"/>
    <n v="16.899999999999999"/>
  </r>
  <r>
    <n v="64"/>
    <x v="2"/>
    <x v="0"/>
    <n v="-1.7"/>
    <n v="-4"/>
    <n v="-1"/>
    <n v="4.7"/>
    <n v="11.7"/>
    <n v="17.2"/>
  </r>
  <r>
    <n v="65"/>
    <x v="2"/>
    <x v="1"/>
    <n v="4.5999999999999996"/>
    <n v="2.2000000000000002"/>
    <n v="4.3"/>
    <n v="8.1999999999999993"/>
    <n v="14"/>
    <n v="18.2"/>
  </r>
  <r>
    <n v="66"/>
    <x v="2"/>
    <x v="2"/>
    <n v="5.9"/>
    <n v="3.3"/>
    <n v="3.8"/>
    <n v="6.2"/>
    <n v="10.5"/>
    <n v="14.8"/>
  </r>
  <r>
    <n v="67"/>
    <x v="3"/>
    <x v="0"/>
    <n v="47"/>
    <n v="49"/>
    <n v="50"/>
    <n v="55"/>
    <n v="53"/>
    <n v="61"/>
  </r>
  <r>
    <n v="68"/>
    <x v="3"/>
    <x v="1"/>
    <n v="66"/>
    <n v="67"/>
    <n v="68"/>
    <n v="69"/>
    <n v="73"/>
    <n v="79"/>
  </r>
  <r>
    <n v="69"/>
    <x v="3"/>
    <x v="2"/>
    <n v="67"/>
    <n v="66"/>
    <n v="62"/>
    <n v="61"/>
    <n v="60"/>
    <n v="65"/>
  </r>
  <r>
    <n v="70"/>
    <x v="3"/>
    <x v="0"/>
    <n v="67"/>
    <n v="68"/>
    <n v="66"/>
    <n v="67"/>
    <n v="61"/>
    <n v="69"/>
  </r>
  <r>
    <n v="71"/>
    <x v="3"/>
    <x v="1"/>
    <n v="54"/>
    <n v="53"/>
    <n v="50"/>
    <n v="51"/>
    <n v="51"/>
    <n v="57"/>
  </r>
  <r>
    <n v="72"/>
    <x v="3"/>
    <x v="3"/>
    <n v="67"/>
    <n v="65"/>
    <n v="60"/>
    <n v="58"/>
    <n v="56"/>
    <n v="63"/>
  </r>
  <r>
    <n v="73"/>
    <x v="3"/>
    <x v="2"/>
    <n v="68"/>
    <n v="68"/>
    <n v="68"/>
    <n v="67"/>
    <n v="67"/>
    <n v="72"/>
  </r>
  <r>
    <n v="74"/>
    <x v="3"/>
    <x v="1"/>
    <n v="48"/>
    <n v="48"/>
    <n v="49"/>
    <n v="56"/>
    <n v="62"/>
    <n v="70"/>
  </r>
  <r>
    <n v="75"/>
    <x v="3"/>
    <x v="3"/>
    <n v="71"/>
    <n v="70"/>
    <n v="68"/>
    <n v="67"/>
    <n v="66"/>
    <n v="71"/>
  </r>
  <r>
    <n v="76"/>
    <x v="3"/>
    <x v="4"/>
    <n v="59"/>
    <n v="58"/>
    <n v="56"/>
    <n v="56"/>
    <n v="55"/>
    <n v="61"/>
  </r>
  <r>
    <n v="77"/>
    <x v="3"/>
    <x v="4"/>
    <n v="64"/>
    <n v="63"/>
    <n v="62"/>
    <n v="62"/>
    <n v="61"/>
    <n v="66"/>
  </r>
  <r>
    <n v="78"/>
    <x v="3"/>
    <x v="1"/>
    <n v="64"/>
    <n v="62"/>
    <n v="59"/>
    <n v="58"/>
    <n v="56"/>
    <n v="63"/>
  </r>
  <r>
    <n v="79"/>
    <x v="3"/>
    <x v="0"/>
    <n v="69"/>
    <n v="67"/>
    <n v="63"/>
    <n v="61"/>
    <n v="58"/>
    <n v="64"/>
  </r>
  <r>
    <n v="80"/>
    <x v="3"/>
    <x v="4"/>
    <n v="61"/>
    <n v="61"/>
    <n v="60"/>
    <n v="63"/>
    <n v="63"/>
    <n v="69"/>
  </r>
  <r>
    <n v="81"/>
    <x v="3"/>
    <x v="2"/>
    <n v="68"/>
    <n v="68"/>
    <n v="65"/>
    <n v="62"/>
    <n v="59"/>
    <n v="64"/>
  </r>
  <r>
    <n v="82"/>
    <x v="3"/>
    <x v="5"/>
    <n v="64"/>
    <n v="64"/>
    <n v="63"/>
    <n v="63"/>
    <n v="64"/>
    <n v="68"/>
  </r>
  <r>
    <n v="83"/>
    <x v="3"/>
    <x v="2"/>
    <n v="63"/>
    <n v="59"/>
    <n v="58"/>
    <n v="59"/>
    <n v="61"/>
    <n v="67"/>
  </r>
  <r>
    <n v="84"/>
    <x v="3"/>
    <x v="3"/>
    <n v="66"/>
    <n v="65"/>
    <n v="61"/>
    <n v="58"/>
    <n v="54"/>
    <n v="59"/>
  </r>
  <r>
    <n v="85"/>
    <x v="3"/>
    <x v="3"/>
    <n v="63"/>
    <n v="62"/>
    <n v="58"/>
    <n v="57"/>
    <n v="55"/>
    <n v="63"/>
  </r>
  <r>
    <n v="86"/>
    <x v="3"/>
    <x v="0"/>
    <n v="72"/>
    <n v="68"/>
    <n v="64"/>
    <n v="62"/>
    <n v="59"/>
    <n v="66"/>
  </r>
  <r>
    <n v="87"/>
    <x v="3"/>
    <x v="1"/>
    <n v="50"/>
    <n v="49"/>
    <n v="50"/>
    <n v="56"/>
    <n v="57"/>
    <n v="65"/>
  </r>
  <r>
    <n v="88"/>
    <x v="3"/>
    <x v="2"/>
    <n v="67"/>
    <n v="69"/>
    <n v="71"/>
    <n v="73"/>
    <n v="76"/>
    <n v="8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피벗 테이블1" cacheId="6" dataOnRows="1" applyNumberFormats="0" applyBorderFormats="0" applyFontFormats="0" applyPatternFormats="0" applyAlignmentFormats="0" applyWidthHeightFormats="1" dataCaption="값" updatedVersion="4" minRefreshableVersion="3" useAutoFormatting="1" colGrandTotals="0" itemPrintTitles="1" createdVersion="4" indent="0" compact="0" compactData="0" multipleFieldFilters="0">
  <location ref="L3:Q18" firstHeaderRow="1" firstDataRow="2" firstDataCol="2"/>
  <pivotFields count="11">
    <pivotField compact="0" outline="0" subtotalTop="0" showAll="0"/>
    <pivotField axis="axisCol" compact="0" outline="0" subtotalTop="0" showAll="0">
      <items count="5">
        <item x="0"/>
        <item x="3"/>
        <item x="1"/>
        <item x="2"/>
        <item t="default"/>
      </items>
    </pivotField>
    <pivotField axis="axisRow" compact="0" outline="0" subtotalTop="0" showAll="0">
      <items count="7">
        <item x="0"/>
        <item x="4"/>
        <item x="1"/>
        <item x="2"/>
        <item x="5"/>
        <item x="3"/>
        <item t="default"/>
      </items>
    </pivotField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compact="0" outline="0" subtotalTop="0" showAll="0"/>
    <pivotField dataField="1" compact="0" outline="0" subtotalTop="0" dragToRow="0" dragToCol="0" dragToPage="0" showAll="0"/>
    <pivotField dataField="1" compact="0" outline="0" subtotalTop="0" dragToRow="0" dragToCol="0" dragToPage="0" showAll="0"/>
  </pivotFields>
  <rowFields count="2">
    <field x="2"/>
    <field x="-2"/>
  </rowFields>
  <rowItems count="14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>
      <x v="5"/>
      <x/>
    </i>
    <i r="1" i="1">
      <x v="1"/>
    </i>
    <i t="grand">
      <x/>
    </i>
    <i t="grand" i="1">
      <x/>
    </i>
  </rowItems>
  <colFields count="1">
    <field x="1"/>
  </colFields>
  <colItems count="4">
    <i>
      <x/>
    </i>
    <i>
      <x v="1"/>
    </i>
    <i>
      <x v="2"/>
    </i>
    <i>
      <x v="3"/>
    </i>
  </colItems>
  <dataFields count="2">
    <dataField name="합계 : 겨울기상" fld="9" baseField="0" baseItem="0"/>
    <dataField name="합계 : 봄기상" fld="10" baseField="0" baseItem="0"/>
  </dataFields>
  <pivotTableStyleInfo name="PivotStyleLight15" showRowHeaders="1" showColHeaders="1" showRowStripes="0" showColStripes="1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7" Type="http://schemas.openxmlformats.org/officeDocument/2006/relationships/ctrlProp" Target="../ctrlProps/ctrlProp1.xml"/><Relationship Id="rId2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1" Type="http://schemas.openxmlformats.org/officeDocument/2006/relationships/externalLinkPath" Target="/&#49457;&#50672;&#51452;/&#52980;&#54876;2016/&#50641;&#49472;&#47928;&#51228;/&#44060;&#51064;&#48324;&#49548;&#46301;&#44277;&#51228;&#49888;&#52397;(&#51032;&#47308;&#48708;).xlsm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3:G11"/>
  <sheetViews>
    <sheetView zoomScaleNormal="100" workbookViewId="0"/>
  </sheetViews>
  <sheetFormatPr defaultRowHeight="16.5" x14ac:dyDescent="0.3"/>
  <cols>
    <col min="2" max="2" width="7.5" bestFit="1" customWidth="1"/>
    <col min="3" max="3" width="9.375" bestFit="1" customWidth="1"/>
    <col min="5" max="7" width="6.75" bestFit="1" customWidth="1"/>
  </cols>
  <sheetData>
    <row r="3" spans="2:7" x14ac:dyDescent="0.3">
      <c r="B3" s="69" t="s">
        <v>187</v>
      </c>
      <c r="C3" s="70" t="s">
        <v>202</v>
      </c>
      <c r="D3" s="70" t="s">
        <v>186</v>
      </c>
      <c r="E3" s="70" t="s">
        <v>188</v>
      </c>
      <c r="F3" s="70" t="s">
        <v>189</v>
      </c>
      <c r="G3" s="71" t="s">
        <v>190</v>
      </c>
    </row>
    <row r="4" spans="2:7" x14ac:dyDescent="0.3">
      <c r="B4" s="72" t="s">
        <v>192</v>
      </c>
      <c r="C4" s="73" t="s">
        <v>207</v>
      </c>
      <c r="D4" s="73" t="s">
        <v>199</v>
      </c>
      <c r="E4" s="73">
        <v>6.7</v>
      </c>
      <c r="F4" s="73">
        <v>13.1</v>
      </c>
      <c r="G4" s="74">
        <v>17.5</v>
      </c>
    </row>
    <row r="5" spans="2:7" x14ac:dyDescent="0.3">
      <c r="B5" s="75" t="s">
        <v>192</v>
      </c>
      <c r="C5" s="76" t="s">
        <v>207</v>
      </c>
      <c r="D5" s="76" t="s">
        <v>198</v>
      </c>
      <c r="E5" s="76">
        <v>11.3</v>
      </c>
      <c r="F5" s="76">
        <v>18</v>
      </c>
      <c r="G5" s="77">
        <v>22.2</v>
      </c>
    </row>
    <row r="6" spans="2:7" x14ac:dyDescent="0.3">
      <c r="B6" s="72" t="s">
        <v>192</v>
      </c>
      <c r="C6" s="73" t="s">
        <v>245</v>
      </c>
      <c r="D6" s="73" t="s">
        <v>199</v>
      </c>
      <c r="E6" s="73">
        <v>0</v>
      </c>
      <c r="F6" s="73">
        <v>6.9</v>
      </c>
      <c r="G6" s="74">
        <v>12</v>
      </c>
    </row>
    <row r="7" spans="2:7" x14ac:dyDescent="0.3">
      <c r="B7" s="75" t="s">
        <v>192</v>
      </c>
      <c r="C7" s="76" t="s">
        <v>245</v>
      </c>
      <c r="D7" s="76" t="s">
        <v>198</v>
      </c>
      <c r="E7" s="76">
        <v>4.9000000000000004</v>
      </c>
      <c r="F7" s="76">
        <v>12.8</v>
      </c>
      <c r="G7" s="77">
        <v>17.7</v>
      </c>
    </row>
    <row r="8" spans="2:7" x14ac:dyDescent="0.3">
      <c r="B8" s="72" t="s">
        <v>192</v>
      </c>
      <c r="C8" s="73" t="s">
        <v>246</v>
      </c>
      <c r="D8" s="73" t="s">
        <v>199</v>
      </c>
      <c r="E8" s="73">
        <v>5.0999999999999996</v>
      </c>
      <c r="F8" s="73">
        <v>12.1</v>
      </c>
      <c r="G8" s="74">
        <v>17.5</v>
      </c>
    </row>
    <row r="9" spans="2:7" x14ac:dyDescent="0.3">
      <c r="B9" s="75" t="s">
        <v>192</v>
      </c>
      <c r="C9" s="76" t="s">
        <v>246</v>
      </c>
      <c r="D9" s="76" t="s">
        <v>198</v>
      </c>
      <c r="E9" s="76">
        <v>11.4</v>
      </c>
      <c r="F9" s="76">
        <v>19.100000000000001</v>
      </c>
      <c r="G9" s="77">
        <v>24</v>
      </c>
    </row>
    <row r="10" spans="2:7" x14ac:dyDescent="0.3">
      <c r="B10" s="72" t="s">
        <v>192</v>
      </c>
      <c r="C10" s="73" t="s">
        <v>247</v>
      </c>
      <c r="D10" s="73" t="s">
        <v>199</v>
      </c>
      <c r="E10" s="73">
        <v>4.7</v>
      </c>
      <c r="F10" s="73">
        <v>11.7</v>
      </c>
      <c r="G10" s="74">
        <v>17.2</v>
      </c>
    </row>
    <row r="11" spans="2:7" x14ac:dyDescent="0.3">
      <c r="B11" s="66" t="s">
        <v>192</v>
      </c>
      <c r="C11" s="67" t="s">
        <v>247</v>
      </c>
      <c r="D11" s="67" t="s">
        <v>198</v>
      </c>
      <c r="E11" s="67">
        <v>11.3</v>
      </c>
      <c r="F11" s="67">
        <v>19</v>
      </c>
      <c r="G11" s="68">
        <v>23.9</v>
      </c>
    </row>
  </sheetData>
  <phoneticPr fontId="7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M36"/>
  <sheetViews>
    <sheetView zoomScaleNormal="100" workbookViewId="0">
      <selection activeCell="I3" sqref="I3"/>
    </sheetView>
  </sheetViews>
  <sheetFormatPr defaultRowHeight="16.5" x14ac:dyDescent="0.3"/>
  <cols>
    <col min="2" max="2" width="34.5" customWidth="1"/>
    <col min="3" max="3" width="21.25" customWidth="1"/>
    <col min="4" max="4" width="6.75" style="8" customWidth="1"/>
    <col min="5" max="5" width="11.125" style="8" customWidth="1"/>
    <col min="6" max="6" width="11.25" style="8" customWidth="1"/>
    <col min="7" max="7" width="14" style="8" customWidth="1"/>
    <col min="9" max="9" width="11.125" bestFit="1" customWidth="1"/>
    <col min="10" max="10" width="11" bestFit="1" customWidth="1"/>
    <col min="11" max="11" width="31.375" bestFit="1" customWidth="1"/>
    <col min="12" max="12" width="15.125" bestFit="1" customWidth="1"/>
    <col min="13" max="13" width="14.125" bestFit="1" customWidth="1"/>
  </cols>
  <sheetData>
    <row r="2" spans="2:13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I2" s="32" t="s">
        <v>248</v>
      </c>
    </row>
    <row r="3" spans="2:13" x14ac:dyDescent="0.3">
      <c r="B3" s="2" t="s">
        <v>6</v>
      </c>
      <c r="C3" s="2" t="s">
        <v>7</v>
      </c>
      <c r="D3" s="3">
        <v>2015</v>
      </c>
      <c r="E3" s="4" t="s">
        <v>8</v>
      </c>
      <c r="F3" s="4" t="s">
        <v>9</v>
      </c>
      <c r="G3" s="4"/>
      <c r="I3" t="b">
        <f>AND(NOT(ISBLANK(G3)),NOT(G3="품절도서"))</f>
        <v>0</v>
      </c>
    </row>
    <row r="4" spans="2:13" x14ac:dyDescent="0.3">
      <c r="B4" s="5" t="s">
        <v>10</v>
      </c>
      <c r="C4" s="5" t="s">
        <v>11</v>
      </c>
      <c r="D4" s="6">
        <v>2015</v>
      </c>
      <c r="E4" s="7" t="s">
        <v>8</v>
      </c>
      <c r="F4" s="7" t="s">
        <v>9</v>
      </c>
      <c r="G4" s="7"/>
    </row>
    <row r="5" spans="2:13" x14ac:dyDescent="0.3">
      <c r="B5" s="5" t="s">
        <v>12</v>
      </c>
      <c r="C5" s="5" t="s">
        <v>13</v>
      </c>
      <c r="D5" s="6">
        <v>2016</v>
      </c>
      <c r="E5" s="7" t="s">
        <v>14</v>
      </c>
      <c r="F5" s="7" t="s">
        <v>15</v>
      </c>
      <c r="G5" s="7" t="s">
        <v>16</v>
      </c>
    </row>
    <row r="6" spans="2:13" x14ac:dyDescent="0.3">
      <c r="B6" s="5" t="s">
        <v>17</v>
      </c>
      <c r="C6" s="5" t="s">
        <v>18</v>
      </c>
      <c r="D6" s="7">
        <v>2016</v>
      </c>
      <c r="E6" s="7" t="s">
        <v>14</v>
      </c>
      <c r="F6" s="7" t="s">
        <v>15</v>
      </c>
      <c r="G6" s="7"/>
    </row>
    <row r="7" spans="2:13" x14ac:dyDescent="0.3">
      <c r="B7" s="5" t="s">
        <v>19</v>
      </c>
      <c r="C7" s="5" t="s">
        <v>20</v>
      </c>
      <c r="D7" s="7">
        <v>2015</v>
      </c>
      <c r="E7" s="7" t="s">
        <v>14</v>
      </c>
      <c r="F7" s="7" t="s">
        <v>21</v>
      </c>
      <c r="G7" s="7"/>
      <c r="I7" t="s">
        <v>249</v>
      </c>
      <c r="J7" s="33" t="s">
        <v>250</v>
      </c>
      <c r="K7" s="33" t="s">
        <v>251</v>
      </c>
      <c r="L7" s="33" t="s">
        <v>252</v>
      </c>
      <c r="M7" s="33" t="s">
        <v>253</v>
      </c>
    </row>
    <row r="8" spans="2:13" x14ac:dyDescent="0.3">
      <c r="B8" s="5" t="s">
        <v>22</v>
      </c>
      <c r="C8" s="5" t="s">
        <v>23</v>
      </c>
      <c r="D8" s="7">
        <v>2015</v>
      </c>
      <c r="E8" s="7" t="s">
        <v>24</v>
      </c>
      <c r="F8" s="7" t="s">
        <v>25</v>
      </c>
      <c r="G8" s="7" t="s">
        <v>16</v>
      </c>
      <c r="I8" s="7" t="s">
        <v>14</v>
      </c>
      <c r="J8" s="7" t="s">
        <v>15</v>
      </c>
      <c r="K8" s="5" t="s">
        <v>12</v>
      </c>
      <c r="L8" s="5" t="s">
        <v>13</v>
      </c>
      <c r="M8" s="7" t="s">
        <v>16</v>
      </c>
    </row>
    <row r="9" spans="2:13" x14ac:dyDescent="0.3">
      <c r="B9" s="5" t="s">
        <v>26</v>
      </c>
      <c r="C9" s="5" t="s">
        <v>27</v>
      </c>
      <c r="D9" s="7">
        <v>2016</v>
      </c>
      <c r="E9" s="7" t="s">
        <v>24</v>
      </c>
      <c r="F9" s="7" t="s">
        <v>28</v>
      </c>
      <c r="G9" s="7"/>
      <c r="I9" s="7" t="s">
        <v>24</v>
      </c>
      <c r="J9" s="7" t="s">
        <v>25</v>
      </c>
      <c r="K9" s="5" t="s">
        <v>22</v>
      </c>
      <c r="L9" s="5" t="s">
        <v>23</v>
      </c>
      <c r="M9" s="7" t="s">
        <v>16</v>
      </c>
    </row>
    <row r="10" spans="2:13" x14ac:dyDescent="0.3">
      <c r="B10" s="5" t="s">
        <v>29</v>
      </c>
      <c r="C10" s="5" t="s">
        <v>30</v>
      </c>
      <c r="D10" s="6">
        <v>2015</v>
      </c>
      <c r="E10" s="7" t="s">
        <v>24</v>
      </c>
      <c r="F10" s="7" t="s">
        <v>31</v>
      </c>
      <c r="G10" s="7"/>
      <c r="I10" s="7" t="s">
        <v>38</v>
      </c>
      <c r="J10" s="7" t="s">
        <v>39</v>
      </c>
      <c r="K10" s="5" t="s">
        <v>36</v>
      </c>
      <c r="L10" s="5" t="s">
        <v>37</v>
      </c>
      <c r="M10" s="7" t="s">
        <v>40</v>
      </c>
    </row>
    <row r="11" spans="2:13" x14ac:dyDescent="0.3">
      <c r="B11" s="5" t="s">
        <v>32</v>
      </c>
      <c r="C11" s="5" t="s">
        <v>33</v>
      </c>
      <c r="D11" s="6">
        <v>2012</v>
      </c>
      <c r="E11" s="7" t="s">
        <v>34</v>
      </c>
      <c r="F11" s="7" t="s">
        <v>35</v>
      </c>
      <c r="G11" s="7"/>
      <c r="I11" s="7" t="s">
        <v>56</v>
      </c>
      <c r="J11" s="7" t="s">
        <v>60</v>
      </c>
      <c r="K11" s="5" t="s">
        <v>58</v>
      </c>
      <c r="L11" s="5" t="s">
        <v>59</v>
      </c>
      <c r="M11" s="7" t="s">
        <v>40</v>
      </c>
    </row>
    <row r="12" spans="2:13" x14ac:dyDescent="0.3">
      <c r="B12" s="5" t="s">
        <v>36</v>
      </c>
      <c r="C12" s="5" t="s">
        <v>37</v>
      </c>
      <c r="D12" s="6">
        <v>2016</v>
      </c>
      <c r="E12" s="7" t="s">
        <v>38</v>
      </c>
      <c r="F12" s="7" t="s">
        <v>39</v>
      </c>
      <c r="G12" s="7" t="s">
        <v>40</v>
      </c>
      <c r="I12" s="7" t="s">
        <v>85</v>
      </c>
      <c r="J12" s="7" t="s">
        <v>86</v>
      </c>
      <c r="K12" s="5" t="s">
        <v>88</v>
      </c>
      <c r="L12" s="5" t="s">
        <v>84</v>
      </c>
      <c r="M12" s="7" t="s">
        <v>87</v>
      </c>
    </row>
    <row r="13" spans="2:13" x14ac:dyDescent="0.3">
      <c r="B13" s="5" t="s">
        <v>41</v>
      </c>
      <c r="C13" s="5" t="s">
        <v>42</v>
      </c>
      <c r="D13" s="6">
        <v>2016</v>
      </c>
      <c r="E13" s="7" t="s">
        <v>38</v>
      </c>
      <c r="F13" s="7" t="s">
        <v>43</v>
      </c>
      <c r="G13" s="7"/>
      <c r="I13" s="7" t="s">
        <v>113</v>
      </c>
      <c r="J13" s="7" t="s">
        <v>116</v>
      </c>
      <c r="K13" s="5" t="s">
        <v>114</v>
      </c>
      <c r="L13" s="5" t="s">
        <v>115</v>
      </c>
      <c r="M13" s="7" t="s">
        <v>117</v>
      </c>
    </row>
    <row r="14" spans="2:13" x14ac:dyDescent="0.3">
      <c r="B14" s="5" t="s">
        <v>44</v>
      </c>
      <c r="C14" s="5" t="s">
        <v>45</v>
      </c>
      <c r="D14" s="6">
        <v>2014</v>
      </c>
      <c r="E14" s="7" t="s">
        <v>46</v>
      </c>
      <c r="F14" s="7" t="s">
        <v>47</v>
      </c>
      <c r="G14" s="7"/>
      <c r="I14" s="7" t="s">
        <v>120</v>
      </c>
      <c r="J14" s="7" t="s">
        <v>121</v>
      </c>
      <c r="K14" s="5" t="s">
        <v>118</v>
      </c>
      <c r="L14" s="5" t="s">
        <v>119</v>
      </c>
      <c r="M14" s="7" t="s">
        <v>117</v>
      </c>
    </row>
    <row r="15" spans="2:13" x14ac:dyDescent="0.3">
      <c r="B15" s="5" t="s">
        <v>48</v>
      </c>
      <c r="C15" s="5" t="s">
        <v>49</v>
      </c>
      <c r="D15" s="6">
        <v>2015</v>
      </c>
      <c r="E15" s="7" t="s">
        <v>46</v>
      </c>
      <c r="F15" s="7" t="s">
        <v>50</v>
      </c>
      <c r="G15" s="7"/>
    </row>
    <row r="16" spans="2:13" x14ac:dyDescent="0.3">
      <c r="B16" s="5" t="s">
        <v>51</v>
      </c>
      <c r="C16" s="5" t="s">
        <v>52</v>
      </c>
      <c r="D16" s="6">
        <v>2016</v>
      </c>
      <c r="E16" s="7" t="s">
        <v>53</v>
      </c>
      <c r="F16" s="7" t="s">
        <v>35</v>
      </c>
      <c r="G16" s="7"/>
    </row>
    <row r="17" spans="2:7" x14ac:dyDescent="0.3">
      <c r="B17" s="5" t="s">
        <v>54</v>
      </c>
      <c r="C17" s="5" t="s">
        <v>55</v>
      </c>
      <c r="D17" s="6">
        <v>2015</v>
      </c>
      <c r="E17" s="7" t="s">
        <v>56</v>
      </c>
      <c r="F17" s="7" t="s">
        <v>57</v>
      </c>
      <c r="G17" s="7"/>
    </row>
    <row r="18" spans="2:7" x14ac:dyDescent="0.3">
      <c r="B18" s="5" t="s">
        <v>58</v>
      </c>
      <c r="C18" s="5" t="s">
        <v>59</v>
      </c>
      <c r="D18" s="6">
        <v>2015</v>
      </c>
      <c r="E18" s="7" t="s">
        <v>56</v>
      </c>
      <c r="F18" s="7" t="s">
        <v>60</v>
      </c>
      <c r="G18" s="7" t="s">
        <v>40</v>
      </c>
    </row>
    <row r="19" spans="2:7" x14ac:dyDescent="0.3">
      <c r="B19" s="5" t="s">
        <v>61</v>
      </c>
      <c r="C19" s="5" t="s">
        <v>62</v>
      </c>
      <c r="D19" s="6">
        <v>2014</v>
      </c>
      <c r="E19" s="7" t="s">
        <v>56</v>
      </c>
      <c r="F19" s="7" t="s">
        <v>63</v>
      </c>
      <c r="G19" s="7"/>
    </row>
    <row r="20" spans="2:7" x14ac:dyDescent="0.3">
      <c r="B20" s="5" t="s">
        <v>64</v>
      </c>
      <c r="C20" s="5" t="s">
        <v>65</v>
      </c>
      <c r="D20" s="6">
        <v>2016</v>
      </c>
      <c r="E20" s="7" t="s">
        <v>66</v>
      </c>
      <c r="F20" s="7" t="s">
        <v>67</v>
      </c>
      <c r="G20" s="7"/>
    </row>
    <row r="21" spans="2:7" x14ac:dyDescent="0.3">
      <c r="B21" s="5" t="s">
        <v>68</v>
      </c>
      <c r="C21" s="5" t="s">
        <v>69</v>
      </c>
      <c r="D21" s="6">
        <v>2016</v>
      </c>
      <c r="E21" s="7" t="s">
        <v>70</v>
      </c>
      <c r="F21" s="7" t="s">
        <v>71</v>
      </c>
      <c r="G21" s="7"/>
    </row>
    <row r="22" spans="2:7" x14ac:dyDescent="0.3">
      <c r="B22" s="5" t="s">
        <v>72</v>
      </c>
      <c r="C22" s="5" t="s">
        <v>73</v>
      </c>
      <c r="D22" s="6">
        <v>2013</v>
      </c>
      <c r="E22" s="7" t="s">
        <v>74</v>
      </c>
      <c r="F22" s="7" t="s">
        <v>75</v>
      </c>
      <c r="G22" s="7"/>
    </row>
    <row r="23" spans="2:7" x14ac:dyDescent="0.3">
      <c r="B23" s="5" t="s">
        <v>76</v>
      </c>
      <c r="C23" s="5" t="s">
        <v>77</v>
      </c>
      <c r="D23" s="6">
        <v>2016</v>
      </c>
      <c r="E23" s="7" t="s">
        <v>74</v>
      </c>
      <c r="F23" s="7" t="s">
        <v>78</v>
      </c>
      <c r="G23" s="7"/>
    </row>
    <row r="24" spans="2:7" x14ac:dyDescent="0.3">
      <c r="B24" s="5" t="s">
        <v>79</v>
      </c>
      <c r="C24" s="5" t="s">
        <v>80</v>
      </c>
      <c r="D24" s="6">
        <v>2015</v>
      </c>
      <c r="E24" s="7" t="s">
        <v>81</v>
      </c>
      <c r="F24" s="7" t="s">
        <v>67</v>
      </c>
      <c r="G24" s="7"/>
    </row>
    <row r="25" spans="2:7" x14ac:dyDescent="0.3">
      <c r="B25" s="5" t="s">
        <v>82</v>
      </c>
      <c r="C25" s="5" t="s">
        <v>83</v>
      </c>
      <c r="D25" s="6">
        <v>2016</v>
      </c>
      <c r="E25" s="7" t="s">
        <v>81</v>
      </c>
      <c r="F25" s="7" t="s">
        <v>43</v>
      </c>
      <c r="G25" s="7"/>
    </row>
    <row r="26" spans="2:7" x14ac:dyDescent="0.3">
      <c r="B26" s="5" t="s">
        <v>88</v>
      </c>
      <c r="C26" s="5" t="s">
        <v>84</v>
      </c>
      <c r="D26" s="6">
        <v>2009</v>
      </c>
      <c r="E26" s="7" t="s">
        <v>85</v>
      </c>
      <c r="F26" s="7" t="s">
        <v>86</v>
      </c>
      <c r="G26" s="7" t="s">
        <v>87</v>
      </c>
    </row>
    <row r="27" spans="2:7" x14ac:dyDescent="0.3">
      <c r="B27" s="5" t="s">
        <v>89</v>
      </c>
      <c r="C27" s="5" t="s">
        <v>90</v>
      </c>
      <c r="D27" s="6">
        <v>2015</v>
      </c>
      <c r="E27" s="7" t="s">
        <v>91</v>
      </c>
      <c r="F27" s="7" t="s">
        <v>92</v>
      </c>
      <c r="G27" s="7"/>
    </row>
    <row r="28" spans="2:7" x14ac:dyDescent="0.3">
      <c r="B28" s="5" t="s">
        <v>93</v>
      </c>
      <c r="C28" s="5" t="s">
        <v>94</v>
      </c>
      <c r="D28" s="6">
        <v>2015</v>
      </c>
      <c r="E28" s="7" t="s">
        <v>91</v>
      </c>
      <c r="F28" s="7" t="s">
        <v>95</v>
      </c>
      <c r="G28" s="7"/>
    </row>
    <row r="29" spans="2:7" x14ac:dyDescent="0.3">
      <c r="B29" s="5" t="s">
        <v>96</v>
      </c>
      <c r="C29" s="5" t="s">
        <v>97</v>
      </c>
      <c r="D29" s="6">
        <v>2015</v>
      </c>
      <c r="E29" s="7" t="s">
        <v>91</v>
      </c>
      <c r="F29" s="7" t="s">
        <v>95</v>
      </c>
      <c r="G29" s="7"/>
    </row>
    <row r="30" spans="2:7" x14ac:dyDescent="0.3">
      <c r="B30" s="5" t="s">
        <v>98</v>
      </c>
      <c r="C30" s="5" t="s">
        <v>99</v>
      </c>
      <c r="D30" s="6">
        <v>2015</v>
      </c>
      <c r="E30" s="7" t="s">
        <v>91</v>
      </c>
      <c r="F30" s="7" t="s">
        <v>100</v>
      </c>
      <c r="G30" s="7"/>
    </row>
    <row r="31" spans="2:7" x14ac:dyDescent="0.3">
      <c r="B31" s="5" t="s">
        <v>101</v>
      </c>
      <c r="C31" s="5" t="s">
        <v>102</v>
      </c>
      <c r="D31" s="6">
        <v>2016</v>
      </c>
      <c r="E31" s="7" t="s">
        <v>91</v>
      </c>
      <c r="F31" s="7" t="s">
        <v>103</v>
      </c>
      <c r="G31" s="7"/>
    </row>
    <row r="32" spans="2:7" x14ac:dyDescent="0.3">
      <c r="B32" s="5" t="s">
        <v>104</v>
      </c>
      <c r="C32" s="5" t="s">
        <v>105</v>
      </c>
      <c r="D32" s="6">
        <v>2012</v>
      </c>
      <c r="E32" s="7" t="s">
        <v>91</v>
      </c>
      <c r="F32" s="7" t="s">
        <v>106</v>
      </c>
      <c r="G32" s="7"/>
    </row>
    <row r="33" spans="2:7" x14ac:dyDescent="0.3">
      <c r="B33" s="5" t="s">
        <v>107</v>
      </c>
      <c r="C33" s="5" t="s">
        <v>108</v>
      </c>
      <c r="D33" s="6">
        <v>2011</v>
      </c>
      <c r="E33" s="7" t="s">
        <v>91</v>
      </c>
      <c r="F33" s="7" t="s">
        <v>109</v>
      </c>
      <c r="G33" s="7" t="s">
        <v>110</v>
      </c>
    </row>
    <row r="34" spans="2:7" x14ac:dyDescent="0.3">
      <c r="B34" s="5" t="s">
        <v>111</v>
      </c>
      <c r="C34" s="5" t="s">
        <v>112</v>
      </c>
      <c r="D34" s="6">
        <v>2013</v>
      </c>
      <c r="E34" s="7" t="s">
        <v>113</v>
      </c>
      <c r="F34" s="7" t="s">
        <v>109</v>
      </c>
      <c r="G34" s="7"/>
    </row>
    <row r="35" spans="2:7" x14ac:dyDescent="0.3">
      <c r="B35" s="5" t="s">
        <v>114</v>
      </c>
      <c r="C35" s="5" t="s">
        <v>115</v>
      </c>
      <c r="D35" s="6">
        <v>2014</v>
      </c>
      <c r="E35" s="7" t="s">
        <v>113</v>
      </c>
      <c r="F35" s="7" t="s">
        <v>116</v>
      </c>
      <c r="G35" s="7" t="s">
        <v>117</v>
      </c>
    </row>
    <row r="36" spans="2:7" x14ac:dyDescent="0.3">
      <c r="B36" s="5" t="s">
        <v>118</v>
      </c>
      <c r="C36" s="5" t="s">
        <v>119</v>
      </c>
      <c r="D36" s="6">
        <v>2011</v>
      </c>
      <c r="E36" s="7" t="s">
        <v>120</v>
      </c>
      <c r="F36" s="7" t="s">
        <v>121</v>
      </c>
      <c r="G36" s="7" t="s">
        <v>117</v>
      </c>
    </row>
  </sheetData>
  <phoneticPr fontId="7" type="noConversion"/>
  <conditionalFormatting sqref="B3:G36">
    <cfRule type="expression" dxfId="1" priority="1">
      <formula>MOD(ROW(),3)=2</formula>
    </cfRule>
  </conditionalFormatting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37"/>
  <sheetViews>
    <sheetView tabSelected="1" zoomScaleNormal="100" workbookViewId="0">
      <selection activeCell="D12" sqref="D12"/>
    </sheetView>
  </sheetViews>
  <sheetFormatPr defaultColWidth="12.875" defaultRowHeight="16.5" x14ac:dyDescent="0.3"/>
  <cols>
    <col min="1" max="1" width="7.125" style="34" bestFit="1" customWidth="1"/>
    <col min="2" max="2" width="5.5" style="34" bestFit="1" customWidth="1"/>
    <col min="3" max="3" width="9.25" style="34" bestFit="1" customWidth="1"/>
    <col min="4" max="4" width="11" style="34" bestFit="1" customWidth="1"/>
    <col min="5" max="5" width="11.75" style="34" customWidth="1"/>
    <col min="6" max="6" width="10.125" style="57" customWidth="1"/>
    <col min="7" max="7" width="14.125" style="34" bestFit="1" customWidth="1"/>
    <col min="8" max="8" width="9.875" style="34" customWidth="1"/>
    <col min="9" max="9" width="11.25" style="34" bestFit="1" customWidth="1"/>
    <col min="10" max="10" width="3.25" style="34" customWidth="1"/>
    <col min="11" max="11" width="11" style="34" bestFit="1" customWidth="1"/>
    <col min="12" max="12" width="11.25" style="34" bestFit="1" customWidth="1"/>
    <col min="13" max="13" width="11" style="34" bestFit="1" customWidth="1"/>
    <col min="14" max="15" width="12.25" style="34" bestFit="1" customWidth="1"/>
    <col min="16" max="16384" width="12.875" style="34"/>
  </cols>
  <sheetData>
    <row r="1" spans="1:14" x14ac:dyDescent="0.3">
      <c r="A1" s="34" t="s">
        <v>122</v>
      </c>
      <c r="K1" s="34" t="s">
        <v>123</v>
      </c>
      <c r="M1" s="34" t="s">
        <v>124</v>
      </c>
    </row>
    <row r="2" spans="1:14" x14ac:dyDescent="0.3">
      <c r="A2" s="35" t="s">
        <v>125</v>
      </c>
      <c r="B2" s="35" t="s">
        <v>126</v>
      </c>
      <c r="C2" s="36" t="s">
        <v>127</v>
      </c>
      <c r="D2" s="35" t="s">
        <v>128</v>
      </c>
      <c r="E2" s="35" t="s">
        <v>129</v>
      </c>
      <c r="F2" s="35" t="s">
        <v>130</v>
      </c>
      <c r="G2" s="36" t="s">
        <v>131</v>
      </c>
      <c r="H2" s="35" t="s">
        <v>132</v>
      </c>
      <c r="I2" s="36" t="s">
        <v>133</v>
      </c>
      <c r="J2" s="37"/>
      <c r="K2" s="35" t="s">
        <v>125</v>
      </c>
      <c r="L2" s="35" t="s">
        <v>126</v>
      </c>
      <c r="M2" s="35" t="s">
        <v>130</v>
      </c>
      <c r="N2" s="35" t="s">
        <v>131</v>
      </c>
    </row>
    <row r="3" spans="1:14" x14ac:dyDescent="0.3">
      <c r="A3" s="38" t="s">
        <v>134</v>
      </c>
      <c r="B3" s="38" t="s">
        <v>135</v>
      </c>
      <c r="C3" s="38" t="str">
        <f>IF(ISERROR(MATCH(A3,$K$3:$K$6,0)),"아니오","예")</f>
        <v>예</v>
      </c>
      <c r="D3" s="39" t="s">
        <v>136</v>
      </c>
      <c r="E3" s="39" t="s">
        <v>137</v>
      </c>
      <c r="F3" s="38" t="s">
        <v>138</v>
      </c>
      <c r="G3" s="38" t="str">
        <f>IFERROR(REPLACE(VLOOKUP(F3,$M$3:$N$8,2,FALSE),5,2,"○●"),"")</f>
        <v>123-○●-6793</v>
      </c>
      <c r="H3" s="40">
        <v>612700</v>
      </c>
      <c r="I3" s="41">
        <f>fn의료비보조(B3,D3,H3)</f>
        <v>306350</v>
      </c>
      <c r="J3" s="42"/>
      <c r="K3" s="43" t="s">
        <v>139</v>
      </c>
      <c r="L3" s="43" t="s">
        <v>140</v>
      </c>
      <c r="M3" s="43" t="s">
        <v>141</v>
      </c>
      <c r="N3" s="43" t="s">
        <v>142</v>
      </c>
    </row>
    <row r="4" spans="1:14" x14ac:dyDescent="0.3">
      <c r="A4" s="44" t="s">
        <v>134</v>
      </c>
      <c r="B4" s="44" t="s">
        <v>135</v>
      </c>
      <c r="C4" s="38" t="str">
        <f t="shared" ref="C4:C37" si="0">IF(ISERROR(MATCH(A4,$K$3:$K$6,0)),"아니오","예")</f>
        <v>예</v>
      </c>
      <c r="D4" s="45" t="s">
        <v>143</v>
      </c>
      <c r="E4" s="45" t="s">
        <v>144</v>
      </c>
      <c r="F4" s="44" t="s">
        <v>145</v>
      </c>
      <c r="G4" s="38" t="str">
        <f t="shared" ref="G4:G37" si="1">IFERROR(REPLACE(VLOOKUP(F4,$M$3:$N$8,2,FALSE),5,2,"○●"),"")</f>
        <v>123-○●-6791</v>
      </c>
      <c r="H4" s="46">
        <v>13000</v>
      </c>
      <c r="I4" s="41">
        <f t="shared" ref="I4:I37" si="2">fn의료비보조(B4,D4,H4)</f>
        <v>0</v>
      </c>
      <c r="J4" s="42"/>
      <c r="K4" s="43" t="s">
        <v>134</v>
      </c>
      <c r="L4" s="43" t="s">
        <v>135</v>
      </c>
      <c r="M4" s="48" t="s">
        <v>146</v>
      </c>
      <c r="N4" s="43" t="s">
        <v>147</v>
      </c>
    </row>
    <row r="5" spans="1:14" x14ac:dyDescent="0.3">
      <c r="A5" s="44" t="s">
        <v>134</v>
      </c>
      <c r="B5" s="44" t="s">
        <v>135</v>
      </c>
      <c r="C5" s="38" t="str">
        <f t="shared" si="0"/>
        <v>예</v>
      </c>
      <c r="D5" s="45" t="s">
        <v>143</v>
      </c>
      <c r="E5" s="45" t="s">
        <v>144</v>
      </c>
      <c r="F5" s="44" t="s">
        <v>145</v>
      </c>
      <c r="G5" s="38" t="str">
        <f t="shared" si="1"/>
        <v>123-○●-6791</v>
      </c>
      <c r="H5" s="46">
        <v>46000</v>
      </c>
      <c r="I5" s="41">
        <f t="shared" si="2"/>
        <v>0</v>
      </c>
      <c r="J5" s="42"/>
      <c r="K5" s="48" t="s">
        <v>148</v>
      </c>
      <c r="L5" s="48" t="s">
        <v>149</v>
      </c>
      <c r="M5" s="48" t="s">
        <v>145</v>
      </c>
      <c r="N5" s="43" t="s">
        <v>150</v>
      </c>
    </row>
    <row r="6" spans="1:14" x14ac:dyDescent="0.3">
      <c r="A6" s="44" t="s">
        <v>134</v>
      </c>
      <c r="B6" s="44" t="s">
        <v>135</v>
      </c>
      <c r="C6" s="38" t="str">
        <f t="shared" si="0"/>
        <v>예</v>
      </c>
      <c r="D6" s="45" t="s">
        <v>151</v>
      </c>
      <c r="E6" s="45" t="s">
        <v>152</v>
      </c>
      <c r="F6" s="44" t="s">
        <v>153</v>
      </c>
      <c r="G6" s="38" t="str">
        <f t="shared" si="1"/>
        <v/>
      </c>
      <c r="H6" s="46">
        <v>3000</v>
      </c>
      <c r="I6" s="41">
        <f t="shared" si="2"/>
        <v>0</v>
      </c>
      <c r="J6" s="42"/>
      <c r="K6" s="48" t="s">
        <v>154</v>
      </c>
      <c r="L6" s="48" t="s">
        <v>155</v>
      </c>
      <c r="M6" s="48" t="s">
        <v>156</v>
      </c>
      <c r="N6" s="43" t="s">
        <v>157</v>
      </c>
    </row>
    <row r="7" spans="1:14" x14ac:dyDescent="0.3">
      <c r="A7" s="44" t="s">
        <v>134</v>
      </c>
      <c r="B7" s="44" t="s">
        <v>135</v>
      </c>
      <c r="C7" s="38" t="str">
        <f t="shared" si="0"/>
        <v>예</v>
      </c>
      <c r="D7" s="45" t="s">
        <v>143</v>
      </c>
      <c r="E7" s="45" t="s">
        <v>152</v>
      </c>
      <c r="F7" s="44" t="s">
        <v>145</v>
      </c>
      <c r="G7" s="38" t="str">
        <f t="shared" si="1"/>
        <v>123-○●-6791</v>
      </c>
      <c r="H7" s="46">
        <v>536790</v>
      </c>
      <c r="I7" s="41">
        <f t="shared" si="2"/>
        <v>0</v>
      </c>
      <c r="J7" s="42"/>
      <c r="M7" s="43" t="s">
        <v>158</v>
      </c>
      <c r="N7" s="43" t="s">
        <v>159</v>
      </c>
    </row>
    <row r="8" spans="1:14" x14ac:dyDescent="0.3">
      <c r="A8" s="44" t="s">
        <v>134</v>
      </c>
      <c r="B8" s="44" t="s">
        <v>135</v>
      </c>
      <c r="C8" s="38" t="str">
        <f t="shared" si="0"/>
        <v>예</v>
      </c>
      <c r="D8" s="45" t="s">
        <v>143</v>
      </c>
      <c r="E8" s="45" t="s">
        <v>152</v>
      </c>
      <c r="F8" s="44" t="s">
        <v>145</v>
      </c>
      <c r="G8" s="38" t="str">
        <f t="shared" si="1"/>
        <v>123-○●-6791</v>
      </c>
      <c r="H8" s="46">
        <v>1738200</v>
      </c>
      <c r="I8" s="41">
        <f t="shared" si="2"/>
        <v>0</v>
      </c>
      <c r="J8" s="42"/>
      <c r="M8" s="43" t="s">
        <v>160</v>
      </c>
      <c r="N8" s="43" t="s">
        <v>161</v>
      </c>
    </row>
    <row r="9" spans="1:14" x14ac:dyDescent="0.3">
      <c r="A9" s="49" t="s">
        <v>134</v>
      </c>
      <c r="B9" s="49" t="s">
        <v>135</v>
      </c>
      <c r="C9" s="38" t="str">
        <f t="shared" si="0"/>
        <v>예</v>
      </c>
      <c r="D9" s="50" t="s">
        <v>136</v>
      </c>
      <c r="E9" s="50" t="s">
        <v>137</v>
      </c>
      <c r="F9" s="49" t="s">
        <v>160</v>
      </c>
      <c r="G9" s="38" t="str">
        <f t="shared" si="1"/>
        <v>123-○●-6794</v>
      </c>
      <c r="H9" s="51">
        <v>58600</v>
      </c>
      <c r="I9" s="41">
        <f t="shared" si="2"/>
        <v>29300</v>
      </c>
      <c r="J9" s="42"/>
    </row>
    <row r="10" spans="1:14" x14ac:dyDescent="0.3">
      <c r="A10" s="49" t="s">
        <v>134</v>
      </c>
      <c r="B10" s="49" t="s">
        <v>135</v>
      </c>
      <c r="C10" s="38" t="str">
        <f t="shared" si="0"/>
        <v>예</v>
      </c>
      <c r="D10" s="50" t="s">
        <v>136</v>
      </c>
      <c r="E10" s="50" t="s">
        <v>137</v>
      </c>
      <c r="F10" s="49" t="s">
        <v>163</v>
      </c>
      <c r="G10" s="38" t="str">
        <f t="shared" si="1"/>
        <v>123-○●-6794</v>
      </c>
      <c r="H10" s="51">
        <v>117840</v>
      </c>
      <c r="I10" s="41">
        <f t="shared" si="2"/>
        <v>58920</v>
      </c>
      <c r="J10" s="42"/>
      <c r="K10" s="34" t="s">
        <v>164</v>
      </c>
      <c r="N10" s="52" t="s">
        <v>165</v>
      </c>
    </row>
    <row r="11" spans="1:14" x14ac:dyDescent="0.3">
      <c r="A11" s="49" t="s">
        <v>166</v>
      </c>
      <c r="B11" s="49" t="s">
        <v>167</v>
      </c>
      <c r="C11" s="38" t="str">
        <f t="shared" si="0"/>
        <v>아니오</v>
      </c>
      <c r="D11" s="50" t="s">
        <v>168</v>
      </c>
      <c r="E11" s="50" t="s">
        <v>169</v>
      </c>
      <c r="F11" s="49" t="s">
        <v>170</v>
      </c>
      <c r="G11" s="38" t="str">
        <f t="shared" si="1"/>
        <v/>
      </c>
      <c r="H11" s="51">
        <v>220000</v>
      </c>
      <c r="I11" s="41">
        <f t="shared" si="2"/>
        <v>0</v>
      </c>
      <c r="J11" s="42"/>
      <c r="K11" s="35" t="s">
        <v>171</v>
      </c>
      <c r="L11" s="36" t="s">
        <v>172</v>
      </c>
      <c r="M11" s="36" t="s">
        <v>173</v>
      </c>
      <c r="N11" s="36" t="s">
        <v>174</v>
      </c>
    </row>
    <row r="12" spans="1:14" x14ac:dyDescent="0.3">
      <c r="A12" s="49" t="s">
        <v>166</v>
      </c>
      <c r="B12" s="49" t="s">
        <v>167</v>
      </c>
      <c r="C12" s="38" t="str">
        <f t="shared" si="0"/>
        <v>아니오</v>
      </c>
      <c r="D12" s="50" t="s">
        <v>136</v>
      </c>
      <c r="E12" s="50" t="s">
        <v>137</v>
      </c>
      <c r="F12" s="49" t="s">
        <v>158</v>
      </c>
      <c r="G12" s="38" t="str">
        <f t="shared" si="1"/>
        <v>123-○●-6793</v>
      </c>
      <c r="H12" s="51">
        <v>44700</v>
      </c>
      <c r="I12" s="41">
        <f t="shared" si="2"/>
        <v>35760</v>
      </c>
      <c r="J12" s="42"/>
      <c r="K12" s="53" t="s">
        <v>143</v>
      </c>
      <c r="L12" s="54" t="str">
        <f t="array" ref="L12">TEXT(SUM(IF(($D$3:$D$37=$K12)*($E$3:$E$37=L$11),$H$3:$H$37)),"#,##0,")</f>
        <v>29,692</v>
      </c>
      <c r="M12" s="54" t="str">
        <f t="array" ref="M12">TEXT(SUM(IF(($D$3:$D$37=$K12)*($E$3:$E$37=M$11),$H$3:$H$37)),"#,##0,")</f>
        <v>399</v>
      </c>
      <c r="N12" s="54" t="str">
        <f t="array" ref="N12">TEXT(SUM(IF(($D$3:$D$37=$K12)*($E$3:$E$37=N$11),$H$3:$H$37)),"#,##0,")</f>
        <v>68</v>
      </c>
    </row>
    <row r="13" spans="1:14" x14ac:dyDescent="0.3">
      <c r="A13" s="49" t="s">
        <v>166</v>
      </c>
      <c r="B13" s="49" t="s">
        <v>167</v>
      </c>
      <c r="C13" s="38" t="str">
        <f t="shared" si="0"/>
        <v>아니오</v>
      </c>
      <c r="D13" s="50" t="s">
        <v>136</v>
      </c>
      <c r="E13" s="50" t="s">
        <v>137</v>
      </c>
      <c r="F13" s="49" t="s">
        <v>158</v>
      </c>
      <c r="G13" s="38" t="str">
        <f t="shared" si="1"/>
        <v>123-○●-6793</v>
      </c>
      <c r="H13" s="51">
        <v>88400</v>
      </c>
      <c r="I13" s="41">
        <f t="shared" si="2"/>
        <v>70720</v>
      </c>
      <c r="J13" s="42"/>
      <c r="K13" s="53" t="s">
        <v>175</v>
      </c>
      <c r="L13" s="54" t="str">
        <f t="array" ref="L13">TEXT(SUM(IF(($D$3:$D$37=$K13)*($E$3:$E$37=L$11),$H$3:$H$37)),"#,##0,")</f>
        <v>378</v>
      </c>
      <c r="M13" s="54" t="str">
        <f t="array" ref="M13">TEXT(SUM(IF(($D$3:$D$37=$K13)*($E$3:$E$37=M$11),$H$3:$H$37)),"#,##0,")</f>
        <v>189</v>
      </c>
      <c r="N13" s="54" t="str">
        <f t="array" ref="N13">TEXT(SUM(IF(($D$3:$D$37=$K13)*($E$3:$E$37=N$11),$H$3:$H$37)),"#,##0,")</f>
        <v>0</v>
      </c>
    </row>
    <row r="14" spans="1:14" x14ac:dyDescent="0.3">
      <c r="A14" s="49" t="s">
        <v>166</v>
      </c>
      <c r="B14" s="49" t="s">
        <v>167</v>
      </c>
      <c r="C14" s="38" t="str">
        <f t="shared" si="0"/>
        <v>아니오</v>
      </c>
      <c r="D14" s="50" t="s">
        <v>136</v>
      </c>
      <c r="E14" s="50" t="s">
        <v>137</v>
      </c>
      <c r="F14" s="49" t="s">
        <v>163</v>
      </c>
      <c r="G14" s="38" t="str">
        <f t="shared" si="1"/>
        <v>123-○●-6794</v>
      </c>
      <c r="H14" s="51">
        <v>107190</v>
      </c>
      <c r="I14" s="41">
        <f t="shared" si="2"/>
        <v>85752</v>
      </c>
      <c r="J14" s="42"/>
      <c r="K14" s="53" t="s">
        <v>151</v>
      </c>
      <c r="L14" s="54" t="str">
        <f t="array" ref="L14">TEXT(SUM(IF(($D$3:$D$37=$K14)*($E$3:$E$37=L$11),$H$3:$H$37)),"#,##0,")</f>
        <v>509</v>
      </c>
      <c r="M14" s="54" t="str">
        <f t="array" ref="M14">TEXT(SUM(IF(($D$3:$D$37=$K14)*($E$3:$E$37=M$11),$H$3:$H$37)),"#,##0,")</f>
        <v>0</v>
      </c>
      <c r="N14" s="54" t="str">
        <f t="array" ref="N14">TEXT(SUM(IF(($D$3:$D$37=$K14)*($E$3:$E$37=N$11),$H$3:$H$37)),"#,##0,")</f>
        <v>0</v>
      </c>
    </row>
    <row r="15" spans="1:14" x14ac:dyDescent="0.3">
      <c r="A15" s="49" t="s">
        <v>139</v>
      </c>
      <c r="B15" s="49" t="s">
        <v>176</v>
      </c>
      <c r="C15" s="38" t="str">
        <f t="shared" si="0"/>
        <v>예</v>
      </c>
      <c r="D15" s="50" t="s">
        <v>136</v>
      </c>
      <c r="E15" s="50" t="s">
        <v>137</v>
      </c>
      <c r="F15" s="49" t="s">
        <v>163</v>
      </c>
      <c r="G15" s="38" t="str">
        <f t="shared" si="1"/>
        <v>123-○●-6794</v>
      </c>
      <c r="H15" s="51">
        <v>360600</v>
      </c>
      <c r="I15" s="41">
        <f t="shared" si="2"/>
        <v>180300</v>
      </c>
      <c r="J15" s="42"/>
    </row>
    <row r="16" spans="1:14" x14ac:dyDescent="0.3">
      <c r="A16" s="44" t="s">
        <v>139</v>
      </c>
      <c r="B16" s="44" t="s">
        <v>176</v>
      </c>
      <c r="C16" s="38" t="str">
        <f t="shared" si="0"/>
        <v>예</v>
      </c>
      <c r="D16" s="45" t="s">
        <v>151</v>
      </c>
      <c r="E16" s="45" t="s">
        <v>152</v>
      </c>
      <c r="F16" s="44" t="s">
        <v>153</v>
      </c>
      <c r="G16" s="38" t="str">
        <f t="shared" si="1"/>
        <v/>
      </c>
      <c r="H16" s="46">
        <v>231000</v>
      </c>
      <c r="I16" s="41">
        <f t="shared" si="2"/>
        <v>0</v>
      </c>
      <c r="J16" s="42"/>
      <c r="K16" s="55" t="s">
        <v>177</v>
      </c>
    </row>
    <row r="17" spans="1:12" x14ac:dyDescent="0.3">
      <c r="A17" s="49" t="s">
        <v>139</v>
      </c>
      <c r="B17" s="49" t="s">
        <v>176</v>
      </c>
      <c r="C17" s="38" t="str">
        <f t="shared" si="0"/>
        <v>예</v>
      </c>
      <c r="D17" s="50" t="s">
        <v>136</v>
      </c>
      <c r="E17" s="50" t="s">
        <v>137</v>
      </c>
      <c r="F17" s="49" t="s">
        <v>163</v>
      </c>
      <c r="G17" s="38" t="str">
        <f t="shared" si="1"/>
        <v>123-○●-6794</v>
      </c>
      <c r="H17" s="51">
        <v>50620</v>
      </c>
      <c r="I17" s="41">
        <f t="shared" si="2"/>
        <v>25310</v>
      </c>
      <c r="J17" s="42"/>
      <c r="K17" s="35" t="s">
        <v>178</v>
      </c>
      <c r="L17" s="36" t="s">
        <v>179</v>
      </c>
    </row>
    <row r="18" spans="1:12" x14ac:dyDescent="0.3">
      <c r="A18" s="44" t="s">
        <v>154</v>
      </c>
      <c r="B18" s="44" t="s">
        <v>155</v>
      </c>
      <c r="C18" s="38" t="str">
        <f t="shared" si="0"/>
        <v>예</v>
      </c>
      <c r="D18" s="45" t="s">
        <v>175</v>
      </c>
      <c r="E18" s="45" t="s">
        <v>144</v>
      </c>
      <c r="F18" s="44" t="s">
        <v>156</v>
      </c>
      <c r="G18" s="38" t="str">
        <f t="shared" si="1"/>
        <v>123-○●-6792</v>
      </c>
      <c r="H18" s="46">
        <v>46360</v>
      </c>
      <c r="I18" s="41">
        <f t="shared" si="2"/>
        <v>0</v>
      </c>
      <c r="J18" s="42"/>
      <c r="K18" s="56" t="s">
        <v>180</v>
      </c>
      <c r="L18" s="47">
        <f t="array" ref="L18">LARGE(IF(($D$3:$D$37=$L$17)*($B$3:$B$37=K18),$H$3:$H$37),1)-SMALL(IF(($D$3:$D$37=$L$17)*($B$3:$B$37=K18),$H$3:$H$37),1)</f>
        <v>44000</v>
      </c>
    </row>
    <row r="19" spans="1:12" x14ac:dyDescent="0.3">
      <c r="A19" s="44" t="s">
        <v>154</v>
      </c>
      <c r="B19" s="44" t="s">
        <v>155</v>
      </c>
      <c r="C19" s="38" t="str">
        <f t="shared" si="0"/>
        <v>예</v>
      </c>
      <c r="D19" s="45" t="s">
        <v>175</v>
      </c>
      <c r="E19" s="45" t="s">
        <v>144</v>
      </c>
      <c r="F19" s="44" t="s">
        <v>156</v>
      </c>
      <c r="G19" s="38" t="str">
        <f t="shared" si="1"/>
        <v>123-○●-6792</v>
      </c>
      <c r="H19" s="46">
        <v>143040</v>
      </c>
      <c r="I19" s="41">
        <f t="shared" si="2"/>
        <v>0</v>
      </c>
      <c r="J19" s="42"/>
      <c r="K19" s="56" t="s">
        <v>181</v>
      </c>
      <c r="L19" s="47">
        <f t="array" ref="L19">LARGE(IF(($D$3:$D$37=$L$17)*($B$3:$B$37=K19),$H$3:$H$37),1)-SMALL(IF(($D$3:$D$37=$L$17)*($B$3:$B$37=K19),$H$3:$H$37),1)</f>
        <v>309980</v>
      </c>
    </row>
    <row r="20" spans="1:12" x14ac:dyDescent="0.3">
      <c r="A20" s="44" t="s">
        <v>154</v>
      </c>
      <c r="B20" s="44" t="s">
        <v>155</v>
      </c>
      <c r="C20" s="38" t="str">
        <f t="shared" si="0"/>
        <v>예</v>
      </c>
      <c r="D20" s="45" t="s">
        <v>175</v>
      </c>
      <c r="E20" s="45" t="s">
        <v>152</v>
      </c>
      <c r="F20" s="44" t="s">
        <v>156</v>
      </c>
      <c r="G20" s="38" t="str">
        <f t="shared" si="1"/>
        <v>123-○●-6792</v>
      </c>
      <c r="H20" s="46">
        <v>138660</v>
      </c>
      <c r="I20" s="41">
        <f t="shared" si="2"/>
        <v>0</v>
      </c>
      <c r="J20" s="42"/>
      <c r="K20" s="56" t="s">
        <v>182</v>
      </c>
      <c r="L20" s="47">
        <f t="array" ref="L20">LARGE(IF(($D$3:$D$37=$L$17)*($B$3:$B$37=K20),$H$3:$H$37),1)-SMALL(IF(($D$3:$D$37=$L$17)*($B$3:$B$37=K20),$H$3:$H$37),1)</f>
        <v>554100</v>
      </c>
    </row>
    <row r="21" spans="1:12" x14ac:dyDescent="0.3">
      <c r="A21" s="44" t="s">
        <v>154</v>
      </c>
      <c r="B21" s="44" t="s">
        <v>155</v>
      </c>
      <c r="C21" s="38" t="str">
        <f t="shared" si="0"/>
        <v>예</v>
      </c>
      <c r="D21" s="45" t="s">
        <v>175</v>
      </c>
      <c r="E21" s="45" t="s">
        <v>152</v>
      </c>
      <c r="F21" s="44" t="s">
        <v>156</v>
      </c>
      <c r="G21" s="38" t="str">
        <f t="shared" si="1"/>
        <v>123-○●-6792</v>
      </c>
      <c r="H21" s="46">
        <v>239250</v>
      </c>
      <c r="I21" s="41">
        <f t="shared" si="2"/>
        <v>0</v>
      </c>
      <c r="J21" s="42"/>
      <c r="K21" s="56" t="s">
        <v>183</v>
      </c>
      <c r="L21" s="47">
        <f t="array" ref="L21">LARGE(IF(($D$3:$D$37=$L$17)*($B$3:$B$37=K21),$H$3:$H$37),1)-SMALL(IF(($D$3:$D$37=$L$17)*($B$3:$B$37=K21),$H$3:$H$37),1)</f>
        <v>0</v>
      </c>
    </row>
    <row r="22" spans="1:12" x14ac:dyDescent="0.3">
      <c r="A22" s="49" t="s">
        <v>154</v>
      </c>
      <c r="B22" s="49" t="s">
        <v>155</v>
      </c>
      <c r="C22" s="38" t="str">
        <f t="shared" si="0"/>
        <v>예</v>
      </c>
      <c r="D22" s="50" t="s">
        <v>136</v>
      </c>
      <c r="E22" s="50" t="s">
        <v>137</v>
      </c>
      <c r="F22" s="49" t="s">
        <v>160</v>
      </c>
      <c r="G22" s="38" t="str">
        <f t="shared" si="1"/>
        <v>123-○●-6794</v>
      </c>
      <c r="H22" s="51">
        <v>81970</v>
      </c>
      <c r="I22" s="41">
        <f t="shared" si="2"/>
        <v>65576</v>
      </c>
      <c r="J22" s="42"/>
    </row>
    <row r="23" spans="1:12" x14ac:dyDescent="0.3">
      <c r="A23" s="44" t="s">
        <v>148</v>
      </c>
      <c r="B23" s="44" t="s">
        <v>149</v>
      </c>
      <c r="C23" s="38" t="str">
        <f t="shared" si="0"/>
        <v>예</v>
      </c>
      <c r="D23" s="45" t="s">
        <v>143</v>
      </c>
      <c r="E23" s="45" t="s">
        <v>144</v>
      </c>
      <c r="F23" s="44" t="s">
        <v>146</v>
      </c>
      <c r="G23" s="38" t="str">
        <f t="shared" si="1"/>
        <v>123-○●-6790</v>
      </c>
      <c r="H23" s="46">
        <v>15000</v>
      </c>
      <c r="I23" s="41">
        <f t="shared" si="2"/>
        <v>0</v>
      </c>
      <c r="J23" s="42"/>
    </row>
    <row r="24" spans="1:12" x14ac:dyDescent="0.3">
      <c r="A24" s="44" t="s">
        <v>148</v>
      </c>
      <c r="B24" s="44" t="s">
        <v>149</v>
      </c>
      <c r="C24" s="38" t="str">
        <f t="shared" si="0"/>
        <v>예</v>
      </c>
      <c r="D24" s="45" t="s">
        <v>143</v>
      </c>
      <c r="E24" s="45" t="s">
        <v>144</v>
      </c>
      <c r="F24" s="44" t="s">
        <v>184</v>
      </c>
      <c r="G24" s="38" t="str">
        <f t="shared" si="1"/>
        <v>123-○●-6791</v>
      </c>
      <c r="H24" s="46">
        <v>111980</v>
      </c>
      <c r="I24" s="41">
        <f t="shared" si="2"/>
        <v>0</v>
      </c>
      <c r="J24" s="42"/>
    </row>
    <row r="25" spans="1:12" x14ac:dyDescent="0.3">
      <c r="A25" s="44" t="s">
        <v>148</v>
      </c>
      <c r="B25" s="44" t="s">
        <v>149</v>
      </c>
      <c r="C25" s="38" t="str">
        <f t="shared" si="0"/>
        <v>예</v>
      </c>
      <c r="D25" s="45" t="s">
        <v>143</v>
      </c>
      <c r="E25" s="45" t="s">
        <v>144</v>
      </c>
      <c r="F25" s="44" t="s">
        <v>184</v>
      </c>
      <c r="G25" s="38" t="str">
        <f t="shared" si="1"/>
        <v>123-○●-6791</v>
      </c>
      <c r="H25" s="46">
        <v>213200</v>
      </c>
      <c r="I25" s="41">
        <f t="shared" si="2"/>
        <v>0</v>
      </c>
      <c r="J25" s="42"/>
    </row>
    <row r="26" spans="1:12" x14ac:dyDescent="0.3">
      <c r="A26" s="49" t="s">
        <v>148</v>
      </c>
      <c r="B26" s="49" t="s">
        <v>149</v>
      </c>
      <c r="C26" s="38" t="str">
        <f t="shared" si="0"/>
        <v>예</v>
      </c>
      <c r="D26" s="50" t="s">
        <v>168</v>
      </c>
      <c r="E26" s="50" t="s">
        <v>169</v>
      </c>
      <c r="F26" s="49" t="s">
        <v>170</v>
      </c>
      <c r="G26" s="38" t="str">
        <f t="shared" si="1"/>
        <v/>
      </c>
      <c r="H26" s="51">
        <v>110000</v>
      </c>
      <c r="I26" s="41">
        <f t="shared" si="2"/>
        <v>0</v>
      </c>
      <c r="J26" s="42"/>
    </row>
    <row r="27" spans="1:12" x14ac:dyDescent="0.3">
      <c r="A27" s="49" t="s">
        <v>148</v>
      </c>
      <c r="B27" s="49" t="s">
        <v>149</v>
      </c>
      <c r="C27" s="38" t="str">
        <f t="shared" si="0"/>
        <v>예</v>
      </c>
      <c r="D27" s="50" t="s">
        <v>168</v>
      </c>
      <c r="E27" s="50" t="s">
        <v>169</v>
      </c>
      <c r="F27" s="49" t="s">
        <v>170</v>
      </c>
      <c r="G27" s="38" t="str">
        <f t="shared" si="1"/>
        <v/>
      </c>
      <c r="H27" s="51">
        <v>600000</v>
      </c>
      <c r="I27" s="41">
        <f t="shared" si="2"/>
        <v>0</v>
      </c>
      <c r="J27" s="42"/>
    </row>
    <row r="28" spans="1:12" x14ac:dyDescent="0.3">
      <c r="A28" s="44" t="s">
        <v>148</v>
      </c>
      <c r="B28" s="44" t="s">
        <v>149</v>
      </c>
      <c r="C28" s="38" t="str">
        <f t="shared" si="0"/>
        <v>예</v>
      </c>
      <c r="D28" s="45" t="s">
        <v>151</v>
      </c>
      <c r="E28" s="45" t="s">
        <v>152</v>
      </c>
      <c r="F28" s="44" t="s">
        <v>153</v>
      </c>
      <c r="G28" s="38" t="str">
        <f t="shared" si="1"/>
        <v/>
      </c>
      <c r="H28" s="46">
        <v>62340</v>
      </c>
      <c r="I28" s="41">
        <f t="shared" si="2"/>
        <v>0</v>
      </c>
      <c r="J28" s="42"/>
    </row>
    <row r="29" spans="1:12" x14ac:dyDescent="0.3">
      <c r="A29" s="44" t="s">
        <v>148</v>
      </c>
      <c r="B29" s="44" t="s">
        <v>149</v>
      </c>
      <c r="C29" s="38" t="str">
        <f t="shared" si="0"/>
        <v>예</v>
      </c>
      <c r="D29" s="45" t="s">
        <v>151</v>
      </c>
      <c r="E29" s="45" t="s">
        <v>152</v>
      </c>
      <c r="F29" s="44" t="s">
        <v>153</v>
      </c>
      <c r="G29" s="38" t="str">
        <f t="shared" si="1"/>
        <v/>
      </c>
      <c r="H29" s="46">
        <v>213020</v>
      </c>
      <c r="I29" s="41">
        <f t="shared" si="2"/>
        <v>0</v>
      </c>
      <c r="J29" s="42"/>
    </row>
    <row r="30" spans="1:12" x14ac:dyDescent="0.3">
      <c r="A30" s="44" t="s">
        <v>148</v>
      </c>
      <c r="B30" s="44" t="s">
        <v>149</v>
      </c>
      <c r="C30" s="38" t="str">
        <f t="shared" si="0"/>
        <v>예</v>
      </c>
      <c r="D30" s="45" t="s">
        <v>143</v>
      </c>
      <c r="E30" s="45" t="s">
        <v>152</v>
      </c>
      <c r="F30" s="44" t="s">
        <v>184</v>
      </c>
      <c r="G30" s="38" t="str">
        <f t="shared" si="1"/>
        <v>123-○●-6791</v>
      </c>
      <c r="H30" s="46">
        <v>1925602</v>
      </c>
      <c r="I30" s="41">
        <f t="shared" si="2"/>
        <v>0</v>
      </c>
      <c r="J30" s="42"/>
    </row>
    <row r="31" spans="1:12" x14ac:dyDescent="0.3">
      <c r="A31" s="44" t="s">
        <v>148</v>
      </c>
      <c r="B31" s="44" t="s">
        <v>149</v>
      </c>
      <c r="C31" s="38" t="str">
        <f t="shared" si="0"/>
        <v>예</v>
      </c>
      <c r="D31" s="45" t="s">
        <v>143</v>
      </c>
      <c r="E31" s="45" t="s">
        <v>152</v>
      </c>
      <c r="F31" s="44" t="s">
        <v>184</v>
      </c>
      <c r="G31" s="38" t="str">
        <f t="shared" si="1"/>
        <v>123-○●-6791</v>
      </c>
      <c r="H31" s="46">
        <v>2638488</v>
      </c>
      <c r="I31" s="41">
        <f t="shared" si="2"/>
        <v>0</v>
      </c>
      <c r="J31" s="42"/>
    </row>
    <row r="32" spans="1:12" x14ac:dyDescent="0.3">
      <c r="A32" s="44" t="s">
        <v>148</v>
      </c>
      <c r="B32" s="44" t="s">
        <v>149</v>
      </c>
      <c r="C32" s="38" t="str">
        <f t="shared" si="0"/>
        <v>예</v>
      </c>
      <c r="D32" s="45" t="s">
        <v>143</v>
      </c>
      <c r="E32" s="45" t="s">
        <v>152</v>
      </c>
      <c r="F32" s="44" t="s">
        <v>146</v>
      </c>
      <c r="G32" s="38" t="str">
        <f t="shared" si="1"/>
        <v>123-○●-6790</v>
      </c>
      <c r="H32" s="46">
        <v>10725504</v>
      </c>
      <c r="I32" s="41">
        <f t="shared" si="2"/>
        <v>0</v>
      </c>
      <c r="J32" s="42"/>
    </row>
    <row r="33" spans="1:10" x14ac:dyDescent="0.3">
      <c r="A33" s="44" t="s">
        <v>148</v>
      </c>
      <c r="B33" s="44" t="s">
        <v>149</v>
      </c>
      <c r="C33" s="38" t="str">
        <f t="shared" si="0"/>
        <v>예</v>
      </c>
      <c r="D33" s="45" t="s">
        <v>143</v>
      </c>
      <c r="E33" s="45" t="s">
        <v>152</v>
      </c>
      <c r="F33" s="44" t="s">
        <v>146</v>
      </c>
      <c r="G33" s="38" t="str">
        <f t="shared" si="1"/>
        <v>123-○●-6790</v>
      </c>
      <c r="H33" s="46">
        <v>12127516</v>
      </c>
      <c r="I33" s="41">
        <f t="shared" si="2"/>
        <v>0</v>
      </c>
      <c r="J33" s="42"/>
    </row>
    <row r="34" spans="1:10" x14ac:dyDescent="0.3">
      <c r="A34" s="44" t="s">
        <v>148</v>
      </c>
      <c r="B34" s="44" t="s">
        <v>149</v>
      </c>
      <c r="C34" s="38" t="str">
        <f t="shared" si="0"/>
        <v>예</v>
      </c>
      <c r="D34" s="45" t="s">
        <v>143</v>
      </c>
      <c r="E34" s="45" t="s">
        <v>162</v>
      </c>
      <c r="F34" s="44" t="s">
        <v>146</v>
      </c>
      <c r="G34" s="38" t="str">
        <f t="shared" si="1"/>
        <v>123-○●-6790</v>
      </c>
      <c r="H34" s="46">
        <v>8000</v>
      </c>
      <c r="I34" s="41">
        <f t="shared" si="2"/>
        <v>0</v>
      </c>
      <c r="J34" s="42"/>
    </row>
    <row r="35" spans="1:10" x14ac:dyDescent="0.3">
      <c r="A35" s="44" t="s">
        <v>148</v>
      </c>
      <c r="B35" s="44" t="s">
        <v>149</v>
      </c>
      <c r="C35" s="38" t="str">
        <f t="shared" si="0"/>
        <v>예</v>
      </c>
      <c r="D35" s="45" t="s">
        <v>143</v>
      </c>
      <c r="E35" s="45" t="s">
        <v>162</v>
      </c>
      <c r="F35" s="44" t="s">
        <v>146</v>
      </c>
      <c r="G35" s="38" t="str">
        <f t="shared" si="1"/>
        <v>123-○●-6790</v>
      </c>
      <c r="H35" s="46">
        <v>60100</v>
      </c>
      <c r="I35" s="41">
        <f t="shared" si="2"/>
        <v>0</v>
      </c>
      <c r="J35" s="42"/>
    </row>
    <row r="36" spans="1:10" x14ac:dyDescent="0.3">
      <c r="A36" s="49" t="s">
        <v>148</v>
      </c>
      <c r="B36" s="49" t="s">
        <v>149</v>
      </c>
      <c r="C36" s="38" t="str">
        <f t="shared" si="0"/>
        <v>예</v>
      </c>
      <c r="D36" s="50" t="s">
        <v>136</v>
      </c>
      <c r="E36" s="50" t="s">
        <v>137</v>
      </c>
      <c r="F36" s="49" t="s">
        <v>185</v>
      </c>
      <c r="G36" s="38" t="str">
        <f t="shared" si="1"/>
        <v>123-○●-6793</v>
      </c>
      <c r="H36" s="51">
        <v>59400</v>
      </c>
      <c r="I36" s="41">
        <f t="shared" si="2"/>
        <v>47520</v>
      </c>
      <c r="J36" s="42"/>
    </row>
    <row r="37" spans="1:10" x14ac:dyDescent="0.3">
      <c r="A37" s="49" t="s">
        <v>148</v>
      </c>
      <c r="B37" s="49" t="s">
        <v>149</v>
      </c>
      <c r="C37" s="38" t="str">
        <f t="shared" si="0"/>
        <v>예</v>
      </c>
      <c r="D37" s="50" t="s">
        <v>136</v>
      </c>
      <c r="E37" s="50" t="s">
        <v>137</v>
      </c>
      <c r="F37" s="49" t="s">
        <v>158</v>
      </c>
      <c r="G37" s="38" t="str">
        <f t="shared" si="1"/>
        <v>123-○●-6793</v>
      </c>
      <c r="H37" s="51">
        <v>103400</v>
      </c>
      <c r="I37" s="41">
        <f t="shared" si="2"/>
        <v>82720</v>
      </c>
      <c r="J37" s="42"/>
    </row>
  </sheetData>
  <phoneticPr fontId="7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Q90"/>
  <sheetViews>
    <sheetView zoomScaleNormal="100" workbookViewId="0"/>
  </sheetViews>
  <sheetFormatPr defaultRowHeight="16.5" x14ac:dyDescent="0.3"/>
  <cols>
    <col min="1" max="1" width="2.875" customWidth="1"/>
    <col min="2" max="2" width="3.75" style="8" bestFit="1" customWidth="1"/>
    <col min="3" max="10" width="9" style="8"/>
    <col min="12" max="12" width="20.125" bestFit="1" customWidth="1"/>
    <col min="13" max="13" width="14.875" customWidth="1"/>
    <col min="14" max="14" width="8.5" customWidth="1"/>
    <col min="15" max="15" width="6.25" customWidth="1"/>
    <col min="16" max="17" width="9.25" customWidth="1"/>
    <col min="18" max="18" width="8.5" customWidth="1"/>
    <col min="19" max="20" width="15.25" bestFit="1" customWidth="1"/>
    <col min="21" max="21" width="20.125" bestFit="1" customWidth="1"/>
    <col min="22" max="22" width="18" bestFit="1" customWidth="1"/>
  </cols>
  <sheetData>
    <row r="2" spans="2:17" x14ac:dyDescent="0.3">
      <c r="B2" s="78" t="s">
        <v>271</v>
      </c>
      <c r="C2" s="78" t="s">
        <v>186</v>
      </c>
      <c r="D2" s="78" t="s">
        <v>187</v>
      </c>
      <c r="E2" s="78" t="s">
        <v>272</v>
      </c>
      <c r="F2" s="78" t="s">
        <v>273</v>
      </c>
      <c r="G2" s="78" t="s">
        <v>274</v>
      </c>
      <c r="H2" s="78" t="s">
        <v>188</v>
      </c>
      <c r="I2" s="78" t="s">
        <v>189</v>
      </c>
      <c r="J2" s="78" t="s">
        <v>190</v>
      </c>
    </row>
    <row r="3" spans="2:17" x14ac:dyDescent="0.3">
      <c r="B3" s="79">
        <v>1</v>
      </c>
      <c r="C3" s="79" t="s">
        <v>191</v>
      </c>
      <c r="D3" s="79" t="s">
        <v>192</v>
      </c>
      <c r="E3" s="79">
        <v>40.299999999999997</v>
      </c>
      <c r="F3" s="79">
        <v>53.1</v>
      </c>
      <c r="G3" s="79">
        <v>43.9</v>
      </c>
      <c r="H3" s="79">
        <v>68.599999999999994</v>
      </c>
      <c r="I3" s="79">
        <v>72.900000000000006</v>
      </c>
      <c r="J3" s="79">
        <v>91</v>
      </c>
      <c r="N3" s="58" t="s">
        <v>186</v>
      </c>
    </row>
    <row r="4" spans="2:17" x14ac:dyDescent="0.3">
      <c r="B4" s="79">
        <v>2</v>
      </c>
      <c r="C4" s="79" t="s">
        <v>191</v>
      </c>
      <c r="D4" s="79" t="s">
        <v>193</v>
      </c>
      <c r="E4" s="79">
        <v>34.5</v>
      </c>
      <c r="F4" s="79">
        <v>42.8</v>
      </c>
      <c r="G4" s="79">
        <v>42.7</v>
      </c>
      <c r="H4" s="79">
        <v>77.5</v>
      </c>
      <c r="I4" s="79">
        <v>88.7</v>
      </c>
      <c r="J4" s="79">
        <v>114.1</v>
      </c>
      <c r="L4" s="58" t="s">
        <v>187</v>
      </c>
      <c r="M4" s="58" t="s">
        <v>258</v>
      </c>
      <c r="N4" t="s">
        <v>191</v>
      </c>
      <c r="O4" t="s">
        <v>200</v>
      </c>
      <c r="P4" t="s">
        <v>198</v>
      </c>
      <c r="Q4" t="s">
        <v>199</v>
      </c>
    </row>
    <row r="5" spans="2:17" x14ac:dyDescent="0.3">
      <c r="B5" s="79">
        <v>3</v>
      </c>
      <c r="C5" s="79" t="s">
        <v>191</v>
      </c>
      <c r="D5" s="79" t="s">
        <v>194</v>
      </c>
      <c r="E5" s="79">
        <v>37</v>
      </c>
      <c r="F5" s="79">
        <v>34.200000000000003</v>
      </c>
      <c r="G5" s="79">
        <v>47.8</v>
      </c>
      <c r="H5" s="79">
        <v>61.9</v>
      </c>
      <c r="I5" s="79">
        <v>81.8</v>
      </c>
      <c r="J5" s="79">
        <v>98.5</v>
      </c>
      <c r="L5" t="s">
        <v>192</v>
      </c>
      <c r="M5" t="s">
        <v>256</v>
      </c>
      <c r="N5" s="59">
        <v>432.59999999999991</v>
      </c>
      <c r="O5" s="59">
        <v>750</v>
      </c>
      <c r="P5" s="59">
        <v>43.9</v>
      </c>
      <c r="Q5" s="59">
        <v>-20.299999999999997</v>
      </c>
    </row>
    <row r="6" spans="2:17" x14ac:dyDescent="0.3">
      <c r="B6" s="79">
        <v>4</v>
      </c>
      <c r="C6" s="79" t="s">
        <v>191</v>
      </c>
      <c r="D6" s="79" t="s">
        <v>192</v>
      </c>
      <c r="E6" s="79">
        <v>39.200000000000003</v>
      </c>
      <c r="F6" s="79">
        <v>66.599999999999994</v>
      </c>
      <c r="G6" s="79">
        <v>53.8</v>
      </c>
      <c r="H6" s="79">
        <v>87.5</v>
      </c>
      <c r="I6" s="79">
        <v>93.7</v>
      </c>
      <c r="J6" s="79">
        <v>127.3</v>
      </c>
      <c r="M6" t="s">
        <v>257</v>
      </c>
      <c r="N6" s="59">
        <v>961.7</v>
      </c>
      <c r="O6" s="59">
        <v>736</v>
      </c>
      <c r="P6" s="59">
        <v>195.60000000000002</v>
      </c>
      <c r="Q6" s="59">
        <v>124.5</v>
      </c>
    </row>
    <row r="7" spans="2:17" x14ac:dyDescent="0.3">
      <c r="B7" s="79">
        <v>5</v>
      </c>
      <c r="C7" s="79" t="s">
        <v>191</v>
      </c>
      <c r="D7" s="79" t="s">
        <v>193</v>
      </c>
      <c r="E7" s="79">
        <v>17.5</v>
      </c>
      <c r="F7" s="79">
        <v>19.2</v>
      </c>
      <c r="G7" s="79">
        <v>25.1</v>
      </c>
      <c r="H7" s="79">
        <v>44.7</v>
      </c>
      <c r="I7" s="79">
        <v>62.4</v>
      </c>
      <c r="J7" s="79">
        <v>87.2</v>
      </c>
      <c r="L7" t="s">
        <v>196</v>
      </c>
      <c r="M7" t="s">
        <v>256</v>
      </c>
      <c r="N7" s="59">
        <v>191.10000000000002</v>
      </c>
      <c r="O7" s="59">
        <v>544</v>
      </c>
      <c r="P7" s="59">
        <v>37.9</v>
      </c>
      <c r="Q7" s="59">
        <v>-1.4000000000000006</v>
      </c>
    </row>
    <row r="8" spans="2:17" x14ac:dyDescent="0.3">
      <c r="B8" s="79">
        <v>6</v>
      </c>
      <c r="C8" s="79" t="s">
        <v>191</v>
      </c>
      <c r="D8" s="79" t="s">
        <v>195</v>
      </c>
      <c r="E8" s="79">
        <v>27.7</v>
      </c>
      <c r="F8" s="79">
        <v>26.5</v>
      </c>
      <c r="G8" s="79">
        <v>35.700000000000003</v>
      </c>
      <c r="H8" s="79">
        <v>54.5</v>
      </c>
      <c r="I8" s="79">
        <v>78.7</v>
      </c>
      <c r="J8" s="79">
        <v>102.6</v>
      </c>
      <c r="M8" t="s">
        <v>257</v>
      </c>
      <c r="N8" s="59">
        <v>642.20000000000005</v>
      </c>
      <c r="O8" s="59">
        <v>556</v>
      </c>
      <c r="P8" s="59">
        <v>151.9</v>
      </c>
      <c r="Q8" s="59">
        <v>104.8</v>
      </c>
    </row>
    <row r="9" spans="2:17" x14ac:dyDescent="0.3">
      <c r="B9" s="79">
        <v>7</v>
      </c>
      <c r="C9" s="79" t="s">
        <v>191</v>
      </c>
      <c r="D9" s="79" t="s">
        <v>194</v>
      </c>
      <c r="E9" s="79">
        <v>33</v>
      </c>
      <c r="F9" s="79">
        <v>31.2</v>
      </c>
      <c r="G9" s="79">
        <v>38.4</v>
      </c>
      <c r="H9" s="79">
        <v>64.2</v>
      </c>
      <c r="I9" s="79">
        <v>69.400000000000006</v>
      </c>
      <c r="J9" s="79">
        <v>91.8</v>
      </c>
      <c r="L9" t="s">
        <v>193</v>
      </c>
      <c r="M9" t="s">
        <v>256</v>
      </c>
      <c r="N9" s="59">
        <v>449.7</v>
      </c>
      <c r="O9" s="59">
        <v>837</v>
      </c>
      <c r="P9" s="59">
        <v>123.5</v>
      </c>
      <c r="Q9" s="59">
        <v>54.2</v>
      </c>
    </row>
    <row r="10" spans="2:17" x14ac:dyDescent="0.3">
      <c r="B10" s="79">
        <v>8</v>
      </c>
      <c r="C10" s="79" t="s">
        <v>191</v>
      </c>
      <c r="D10" s="79" t="s">
        <v>193</v>
      </c>
      <c r="E10" s="79">
        <v>26.3</v>
      </c>
      <c r="F10" s="79">
        <v>34.1</v>
      </c>
      <c r="G10" s="79">
        <v>48.9</v>
      </c>
      <c r="H10" s="79">
        <v>83.5</v>
      </c>
      <c r="I10" s="79">
        <v>136.6</v>
      </c>
      <c r="J10" s="79">
        <v>173.2</v>
      </c>
      <c r="M10" t="s">
        <v>257</v>
      </c>
      <c r="N10" s="59">
        <v>1306.9000000000001</v>
      </c>
      <c r="O10" s="59">
        <v>923</v>
      </c>
      <c r="P10" s="59">
        <v>273.39999999999998</v>
      </c>
      <c r="Q10" s="59">
        <v>197</v>
      </c>
    </row>
    <row r="11" spans="2:17" x14ac:dyDescent="0.3">
      <c r="B11" s="79">
        <v>9</v>
      </c>
      <c r="C11" s="79" t="s">
        <v>191</v>
      </c>
      <c r="D11" s="79" t="s">
        <v>195</v>
      </c>
      <c r="E11" s="79">
        <v>29.9</v>
      </c>
      <c r="F11" s="79">
        <v>25.3</v>
      </c>
      <c r="G11" s="79">
        <v>26.7</v>
      </c>
      <c r="H11" s="79">
        <v>44.2</v>
      </c>
      <c r="I11" s="79">
        <v>72.099999999999994</v>
      </c>
      <c r="J11" s="79">
        <v>112.6</v>
      </c>
      <c r="L11" t="s">
        <v>194</v>
      </c>
      <c r="M11" t="s">
        <v>256</v>
      </c>
      <c r="N11" s="59">
        <v>472.5</v>
      </c>
      <c r="O11" s="59">
        <v>987</v>
      </c>
      <c r="P11" s="59">
        <v>111.10000000000001</v>
      </c>
      <c r="Q11" s="59">
        <v>39.5</v>
      </c>
    </row>
    <row r="12" spans="2:17" x14ac:dyDescent="0.3">
      <c r="B12" s="79">
        <v>10</v>
      </c>
      <c r="C12" s="79" t="s">
        <v>191</v>
      </c>
      <c r="D12" s="79" t="s">
        <v>196</v>
      </c>
      <c r="E12" s="79">
        <v>20.9</v>
      </c>
      <c r="F12" s="79">
        <v>17.899999999999999</v>
      </c>
      <c r="G12" s="79">
        <v>26.9</v>
      </c>
      <c r="H12" s="79">
        <v>42.9</v>
      </c>
      <c r="I12" s="79">
        <v>70.099999999999994</v>
      </c>
      <c r="J12" s="79">
        <v>113.7</v>
      </c>
      <c r="M12" t="s">
        <v>257</v>
      </c>
      <c r="N12" s="59">
        <v>1182.0999999999999</v>
      </c>
      <c r="O12" s="59">
        <v>994</v>
      </c>
      <c r="P12" s="59">
        <v>267.2</v>
      </c>
      <c r="Q12" s="59">
        <v>182.8</v>
      </c>
    </row>
    <row r="13" spans="2:17" x14ac:dyDescent="0.3">
      <c r="B13" s="79">
        <v>11</v>
      </c>
      <c r="C13" s="79" t="s">
        <v>191</v>
      </c>
      <c r="D13" s="79" t="s">
        <v>196</v>
      </c>
      <c r="E13" s="79">
        <v>22.3</v>
      </c>
      <c r="F13" s="79">
        <v>19</v>
      </c>
      <c r="G13" s="79">
        <v>25.5</v>
      </c>
      <c r="H13" s="79">
        <v>43.8</v>
      </c>
      <c r="I13" s="79">
        <v>64.599999999999994</v>
      </c>
      <c r="J13" s="79">
        <v>101.7</v>
      </c>
      <c r="L13" t="s">
        <v>197</v>
      </c>
      <c r="M13" t="s">
        <v>256</v>
      </c>
      <c r="N13" s="59">
        <v>179.8</v>
      </c>
      <c r="O13" s="59">
        <v>191</v>
      </c>
      <c r="P13" s="59">
        <v>29.5</v>
      </c>
      <c r="Q13" s="59">
        <v>21.3</v>
      </c>
    </row>
    <row r="14" spans="2:17" x14ac:dyDescent="0.3">
      <c r="B14" s="79">
        <v>12</v>
      </c>
      <c r="C14" s="79" t="s">
        <v>191</v>
      </c>
      <c r="D14" s="79" t="s">
        <v>193</v>
      </c>
      <c r="E14" s="79">
        <v>18</v>
      </c>
      <c r="F14" s="79">
        <v>18.2</v>
      </c>
      <c r="G14" s="79">
        <v>23.5</v>
      </c>
      <c r="H14" s="79">
        <v>44.2</v>
      </c>
      <c r="I14" s="79">
        <v>69.3</v>
      </c>
      <c r="J14" s="79">
        <v>96.3</v>
      </c>
      <c r="M14" t="s">
        <v>257</v>
      </c>
      <c r="N14" s="59">
        <v>287.39999999999998</v>
      </c>
      <c r="O14" s="59">
        <v>195</v>
      </c>
      <c r="P14" s="59">
        <v>52.5</v>
      </c>
      <c r="Q14" s="59">
        <v>41.5</v>
      </c>
    </row>
    <row r="15" spans="2:17" x14ac:dyDescent="0.3">
      <c r="B15" s="79">
        <v>13</v>
      </c>
      <c r="C15" s="79" t="s">
        <v>191</v>
      </c>
      <c r="D15" s="79" t="s">
        <v>192</v>
      </c>
      <c r="E15" s="79">
        <v>23.5</v>
      </c>
      <c r="F15" s="79">
        <v>19.2</v>
      </c>
      <c r="G15" s="79">
        <v>26.9</v>
      </c>
      <c r="H15" s="79">
        <v>47.9</v>
      </c>
      <c r="I15" s="79">
        <v>69.099999999999994</v>
      </c>
      <c r="J15" s="79">
        <v>93.9</v>
      </c>
      <c r="L15" t="s">
        <v>195</v>
      </c>
      <c r="M15" t="s">
        <v>256</v>
      </c>
      <c r="N15" s="59">
        <v>328</v>
      </c>
      <c r="O15" s="59">
        <v>776</v>
      </c>
      <c r="P15" s="59">
        <v>63.5</v>
      </c>
      <c r="Q15" s="59">
        <v>0</v>
      </c>
    </row>
    <row r="16" spans="2:17" x14ac:dyDescent="0.3">
      <c r="B16" s="79">
        <v>14</v>
      </c>
      <c r="C16" s="79" t="s">
        <v>191</v>
      </c>
      <c r="D16" s="79" t="s">
        <v>196</v>
      </c>
      <c r="E16" s="79">
        <v>18.8</v>
      </c>
      <c r="F16" s="79">
        <v>17.3</v>
      </c>
      <c r="G16" s="79">
        <v>22.5</v>
      </c>
      <c r="H16" s="79">
        <v>37.6</v>
      </c>
      <c r="I16" s="79">
        <v>60.9</v>
      </c>
      <c r="J16" s="79">
        <v>106.9</v>
      </c>
      <c r="M16" t="s">
        <v>257</v>
      </c>
      <c r="N16" s="59">
        <v>890.59999999999991</v>
      </c>
      <c r="O16" s="59">
        <v>727</v>
      </c>
      <c r="P16" s="59">
        <v>216</v>
      </c>
      <c r="Q16" s="59">
        <v>140.9</v>
      </c>
    </row>
    <row r="17" spans="2:17" x14ac:dyDescent="0.3">
      <c r="B17" s="79">
        <v>15</v>
      </c>
      <c r="C17" s="79" t="s">
        <v>191</v>
      </c>
      <c r="D17" s="79" t="s">
        <v>194</v>
      </c>
      <c r="E17" s="79">
        <v>32.299999999999997</v>
      </c>
      <c r="F17" s="79">
        <v>29</v>
      </c>
      <c r="G17" s="79">
        <v>38.200000000000003</v>
      </c>
      <c r="H17" s="79">
        <v>52.5</v>
      </c>
      <c r="I17" s="79">
        <v>76.400000000000006</v>
      </c>
      <c r="J17" s="79">
        <v>88.5</v>
      </c>
      <c r="L17" t="s">
        <v>254</v>
      </c>
      <c r="N17" s="59">
        <v>2053.6999999999998</v>
      </c>
      <c r="O17" s="59">
        <v>4085</v>
      </c>
      <c r="P17" s="59">
        <v>409.4</v>
      </c>
      <c r="Q17" s="59">
        <v>93.3</v>
      </c>
    </row>
    <row r="18" spans="2:17" x14ac:dyDescent="0.3">
      <c r="B18" s="79">
        <v>16</v>
      </c>
      <c r="C18" s="79" t="s">
        <v>191</v>
      </c>
      <c r="D18" s="79" t="s">
        <v>197</v>
      </c>
      <c r="E18" s="79">
        <v>52.1</v>
      </c>
      <c r="F18" s="79">
        <v>72.5</v>
      </c>
      <c r="G18" s="79">
        <v>55.2</v>
      </c>
      <c r="H18" s="79">
        <v>94.4</v>
      </c>
      <c r="I18" s="79">
        <v>88.3</v>
      </c>
      <c r="J18" s="79">
        <v>104.7</v>
      </c>
      <c r="L18" t="s">
        <v>255</v>
      </c>
      <c r="N18" s="59">
        <v>5270.9000000000005</v>
      </c>
      <c r="O18" s="59">
        <v>4131</v>
      </c>
      <c r="P18" s="59">
        <v>1156.5999999999999</v>
      </c>
      <c r="Q18" s="59">
        <v>791.5</v>
      </c>
    </row>
    <row r="19" spans="2:17" x14ac:dyDescent="0.3">
      <c r="B19" s="79">
        <v>17</v>
      </c>
      <c r="C19" s="79" t="s">
        <v>191</v>
      </c>
      <c r="D19" s="79" t="s">
        <v>194</v>
      </c>
      <c r="E19" s="79">
        <v>22.6</v>
      </c>
      <c r="F19" s="79">
        <v>29</v>
      </c>
      <c r="G19" s="79">
        <v>44.3</v>
      </c>
      <c r="H19" s="79">
        <v>74.099999999999994</v>
      </c>
      <c r="I19" s="79">
        <v>116.7</v>
      </c>
      <c r="J19" s="79">
        <v>143.6</v>
      </c>
    </row>
    <row r="20" spans="2:17" x14ac:dyDescent="0.3">
      <c r="B20" s="79">
        <v>18</v>
      </c>
      <c r="C20" s="79" t="s">
        <v>191</v>
      </c>
      <c r="D20" s="79" t="s">
        <v>195</v>
      </c>
      <c r="E20" s="79">
        <v>25.2</v>
      </c>
      <c r="F20" s="79">
        <v>22.2</v>
      </c>
      <c r="G20" s="79">
        <v>27.8</v>
      </c>
      <c r="H20" s="79">
        <v>45.5</v>
      </c>
      <c r="I20" s="79">
        <v>71.3</v>
      </c>
      <c r="J20" s="79">
        <v>95.2</v>
      </c>
    </row>
    <row r="21" spans="2:17" x14ac:dyDescent="0.3">
      <c r="B21" s="79">
        <v>19</v>
      </c>
      <c r="C21" s="79" t="s">
        <v>191</v>
      </c>
      <c r="D21" s="79" t="s">
        <v>195</v>
      </c>
      <c r="E21" s="79">
        <v>24</v>
      </c>
      <c r="F21" s="79">
        <v>23.5</v>
      </c>
      <c r="G21" s="79">
        <v>33.5</v>
      </c>
      <c r="H21" s="79">
        <v>50.6</v>
      </c>
      <c r="I21" s="79">
        <v>72.900000000000006</v>
      </c>
      <c r="J21" s="79">
        <v>90.4</v>
      </c>
    </row>
    <row r="22" spans="2:17" x14ac:dyDescent="0.3">
      <c r="B22" s="79">
        <v>20</v>
      </c>
      <c r="C22" s="79" t="s">
        <v>191</v>
      </c>
      <c r="D22" s="79" t="s">
        <v>192</v>
      </c>
      <c r="E22" s="79">
        <v>22.3</v>
      </c>
      <c r="F22" s="79">
        <v>19.100000000000001</v>
      </c>
      <c r="G22" s="79">
        <v>24.7</v>
      </c>
      <c r="H22" s="79">
        <v>37.299999999999997</v>
      </c>
      <c r="I22" s="79">
        <v>66</v>
      </c>
      <c r="J22" s="79">
        <v>106.5</v>
      </c>
    </row>
    <row r="23" spans="2:17" x14ac:dyDescent="0.3">
      <c r="B23" s="79">
        <v>21</v>
      </c>
      <c r="C23" s="79" t="s">
        <v>191</v>
      </c>
      <c r="D23" s="79" t="s">
        <v>193</v>
      </c>
      <c r="E23" s="79">
        <v>25.9</v>
      </c>
      <c r="F23" s="79">
        <v>39.200000000000003</v>
      </c>
      <c r="G23" s="79">
        <v>33.799999999999997</v>
      </c>
      <c r="H23" s="79">
        <v>57</v>
      </c>
      <c r="I23" s="79">
        <v>70.599999999999994</v>
      </c>
      <c r="J23" s="79">
        <v>101.6</v>
      </c>
    </row>
    <row r="24" spans="2:17" x14ac:dyDescent="0.3">
      <c r="B24" s="79">
        <v>22</v>
      </c>
      <c r="C24" s="79" t="s">
        <v>191</v>
      </c>
      <c r="D24" s="79" t="s">
        <v>194</v>
      </c>
      <c r="E24" s="79">
        <v>16.7</v>
      </c>
      <c r="F24" s="79">
        <v>15.5</v>
      </c>
      <c r="G24" s="79">
        <v>23.3</v>
      </c>
      <c r="H24" s="79">
        <v>34.200000000000003</v>
      </c>
      <c r="I24" s="79">
        <v>56.8</v>
      </c>
      <c r="J24" s="79">
        <v>71.7</v>
      </c>
    </row>
    <row r="25" spans="2:17" x14ac:dyDescent="0.3">
      <c r="B25" s="79">
        <v>23</v>
      </c>
      <c r="C25" s="79" t="s">
        <v>198</v>
      </c>
      <c r="D25" s="79" t="s">
        <v>192</v>
      </c>
      <c r="E25" s="79">
        <v>8</v>
      </c>
      <c r="F25" s="79">
        <v>5.2</v>
      </c>
      <c r="G25" s="79">
        <v>7.3</v>
      </c>
      <c r="H25" s="79">
        <v>11.3</v>
      </c>
      <c r="I25" s="79">
        <v>18</v>
      </c>
      <c r="J25" s="79">
        <v>22.2</v>
      </c>
    </row>
    <row r="26" spans="2:17" x14ac:dyDescent="0.3">
      <c r="B26" s="79">
        <v>24</v>
      </c>
      <c r="C26" s="79" t="s">
        <v>198</v>
      </c>
      <c r="D26" s="79" t="s">
        <v>193</v>
      </c>
      <c r="E26" s="79">
        <v>11.2</v>
      </c>
      <c r="F26" s="79">
        <v>8.6</v>
      </c>
      <c r="G26" s="79">
        <v>9.4</v>
      </c>
      <c r="H26" s="79">
        <v>12.4</v>
      </c>
      <c r="I26" s="79">
        <v>16.5</v>
      </c>
      <c r="J26" s="79">
        <v>20.100000000000001</v>
      </c>
    </row>
    <row r="27" spans="2:17" x14ac:dyDescent="0.3">
      <c r="B27" s="79">
        <v>25</v>
      </c>
      <c r="C27" s="79" t="s">
        <v>198</v>
      </c>
      <c r="D27" s="79" t="s">
        <v>194</v>
      </c>
      <c r="E27" s="79">
        <v>8.1999999999999993</v>
      </c>
      <c r="F27" s="79">
        <v>5.7</v>
      </c>
      <c r="G27" s="79">
        <v>8.3000000000000007</v>
      </c>
      <c r="H27" s="79">
        <v>13.3</v>
      </c>
      <c r="I27" s="79">
        <v>19.8</v>
      </c>
      <c r="J27" s="79">
        <v>24.3</v>
      </c>
    </row>
    <row r="28" spans="2:17" x14ac:dyDescent="0.3">
      <c r="B28" s="79">
        <v>26</v>
      </c>
      <c r="C28" s="79" t="s">
        <v>198</v>
      </c>
      <c r="D28" s="79" t="s">
        <v>192</v>
      </c>
      <c r="E28" s="79">
        <v>0.8</v>
      </c>
      <c r="F28" s="79">
        <v>-1.9</v>
      </c>
      <c r="G28" s="79">
        <v>0.5</v>
      </c>
      <c r="H28" s="79">
        <v>4.9000000000000004</v>
      </c>
      <c r="I28" s="79">
        <v>12.8</v>
      </c>
      <c r="J28" s="79">
        <v>17.7</v>
      </c>
    </row>
    <row r="29" spans="2:17" x14ac:dyDescent="0.3">
      <c r="B29" s="79">
        <v>27</v>
      </c>
      <c r="C29" s="79" t="s">
        <v>198</v>
      </c>
      <c r="D29" s="79" t="s">
        <v>193</v>
      </c>
      <c r="E29" s="79">
        <v>8.3000000000000007</v>
      </c>
      <c r="F29" s="79">
        <v>6</v>
      </c>
      <c r="G29" s="79">
        <v>8.9</v>
      </c>
      <c r="H29" s="79">
        <v>13.8</v>
      </c>
      <c r="I29" s="79">
        <v>20.7</v>
      </c>
      <c r="J29" s="79">
        <v>25.3</v>
      </c>
    </row>
    <row r="30" spans="2:17" x14ac:dyDescent="0.3">
      <c r="B30" s="79">
        <v>28</v>
      </c>
      <c r="C30" s="79" t="s">
        <v>198</v>
      </c>
      <c r="D30" s="79" t="s">
        <v>195</v>
      </c>
      <c r="E30" s="79">
        <v>6.6</v>
      </c>
      <c r="F30" s="79">
        <v>4.0999999999999996</v>
      </c>
      <c r="G30" s="79">
        <v>7</v>
      </c>
      <c r="H30" s="79">
        <v>12.3</v>
      </c>
      <c r="I30" s="79">
        <v>19.399999999999999</v>
      </c>
      <c r="J30" s="79">
        <v>24.1</v>
      </c>
    </row>
    <row r="31" spans="2:17" x14ac:dyDescent="0.3">
      <c r="B31" s="79">
        <v>29</v>
      </c>
      <c r="C31" s="79" t="s">
        <v>198</v>
      </c>
      <c r="D31" s="79" t="s">
        <v>194</v>
      </c>
      <c r="E31" s="79">
        <v>8.8000000000000007</v>
      </c>
      <c r="F31" s="79">
        <v>6.3</v>
      </c>
      <c r="G31" s="79">
        <v>8</v>
      </c>
      <c r="H31" s="79">
        <v>12</v>
      </c>
      <c r="I31" s="79">
        <v>17.8</v>
      </c>
      <c r="J31" s="79">
        <v>22.2</v>
      </c>
    </row>
    <row r="32" spans="2:17" x14ac:dyDescent="0.3">
      <c r="B32" s="79">
        <v>30</v>
      </c>
      <c r="C32" s="79" t="s">
        <v>198</v>
      </c>
      <c r="D32" s="79" t="s">
        <v>193</v>
      </c>
      <c r="E32" s="79">
        <v>10.6</v>
      </c>
      <c r="F32" s="79">
        <v>8.1999999999999993</v>
      </c>
      <c r="G32" s="79">
        <v>10.199999999999999</v>
      </c>
      <c r="H32" s="79">
        <v>13.6</v>
      </c>
      <c r="I32" s="79">
        <v>18.3</v>
      </c>
      <c r="J32" s="79">
        <v>21.7</v>
      </c>
    </row>
    <row r="33" spans="2:10" x14ac:dyDescent="0.3">
      <c r="B33" s="79">
        <v>31</v>
      </c>
      <c r="C33" s="79" t="s">
        <v>198</v>
      </c>
      <c r="D33" s="79" t="s">
        <v>195</v>
      </c>
      <c r="E33" s="79">
        <v>6.1</v>
      </c>
      <c r="F33" s="79">
        <v>3.5</v>
      </c>
      <c r="G33" s="79">
        <v>5.7</v>
      </c>
      <c r="H33" s="79">
        <v>10.6</v>
      </c>
      <c r="I33" s="79">
        <v>17.3</v>
      </c>
      <c r="J33" s="79">
        <v>22.2</v>
      </c>
    </row>
    <row r="34" spans="2:10" x14ac:dyDescent="0.3">
      <c r="B34" s="79">
        <v>32</v>
      </c>
      <c r="C34" s="79" t="s">
        <v>198</v>
      </c>
      <c r="D34" s="79" t="s">
        <v>196</v>
      </c>
      <c r="E34" s="79">
        <v>4.5</v>
      </c>
      <c r="F34" s="79">
        <v>2.1</v>
      </c>
      <c r="G34" s="79">
        <v>5.2</v>
      </c>
      <c r="H34" s="79">
        <v>10.6</v>
      </c>
      <c r="I34" s="79">
        <v>17.8</v>
      </c>
      <c r="J34" s="79">
        <v>23.2</v>
      </c>
    </row>
    <row r="35" spans="2:10" x14ac:dyDescent="0.3">
      <c r="B35" s="79">
        <v>33</v>
      </c>
      <c r="C35" s="79" t="s">
        <v>198</v>
      </c>
      <c r="D35" s="79" t="s">
        <v>196</v>
      </c>
      <c r="E35" s="79">
        <v>5.2</v>
      </c>
      <c r="F35" s="79">
        <v>2.7</v>
      </c>
      <c r="G35" s="79">
        <v>5.5</v>
      </c>
      <c r="H35" s="79">
        <v>10.9</v>
      </c>
      <c r="I35" s="79">
        <v>18</v>
      </c>
      <c r="J35" s="79">
        <v>23.1</v>
      </c>
    </row>
    <row r="36" spans="2:10" x14ac:dyDescent="0.3">
      <c r="B36" s="79">
        <v>34</v>
      </c>
      <c r="C36" s="79" t="s">
        <v>198</v>
      </c>
      <c r="D36" s="79" t="s">
        <v>193</v>
      </c>
      <c r="E36" s="79">
        <v>6.2</v>
      </c>
      <c r="F36" s="79">
        <v>3.9</v>
      </c>
      <c r="G36" s="79">
        <v>6.9</v>
      </c>
      <c r="H36" s="79">
        <v>12.2</v>
      </c>
      <c r="I36" s="79">
        <v>19.399999999999999</v>
      </c>
      <c r="J36" s="79">
        <v>24.2</v>
      </c>
    </row>
    <row r="37" spans="2:10" x14ac:dyDescent="0.3">
      <c r="B37" s="79">
        <v>35</v>
      </c>
      <c r="C37" s="79" t="s">
        <v>198</v>
      </c>
      <c r="D37" s="79" t="s">
        <v>192</v>
      </c>
      <c r="E37" s="79">
        <v>4.5999999999999996</v>
      </c>
      <c r="F37" s="79">
        <v>2.4</v>
      </c>
      <c r="G37" s="79">
        <v>5.6</v>
      </c>
      <c r="H37" s="79">
        <v>11.4</v>
      </c>
      <c r="I37" s="79">
        <v>19.100000000000001</v>
      </c>
      <c r="J37" s="79">
        <v>24</v>
      </c>
    </row>
    <row r="38" spans="2:10" x14ac:dyDescent="0.3">
      <c r="B38" s="79">
        <v>36</v>
      </c>
      <c r="C38" s="79" t="s">
        <v>198</v>
      </c>
      <c r="D38" s="79" t="s">
        <v>196</v>
      </c>
      <c r="E38" s="79">
        <v>5.0999999999999996</v>
      </c>
      <c r="F38" s="79">
        <v>2.5</v>
      </c>
      <c r="G38" s="79">
        <v>5.0999999999999996</v>
      </c>
      <c r="H38" s="79">
        <v>10.1</v>
      </c>
      <c r="I38" s="79">
        <v>16.5</v>
      </c>
      <c r="J38" s="79">
        <v>21.7</v>
      </c>
    </row>
    <row r="39" spans="2:10" x14ac:dyDescent="0.3">
      <c r="B39" s="79">
        <v>37</v>
      </c>
      <c r="C39" s="79" t="s">
        <v>198</v>
      </c>
      <c r="D39" s="79" t="s">
        <v>194</v>
      </c>
      <c r="E39" s="79">
        <v>7.3</v>
      </c>
      <c r="F39" s="79">
        <v>4.9000000000000004</v>
      </c>
      <c r="G39" s="79">
        <v>7.4</v>
      </c>
      <c r="H39" s="79">
        <v>12.7</v>
      </c>
      <c r="I39" s="79">
        <v>19.7</v>
      </c>
      <c r="J39" s="79">
        <v>24.6</v>
      </c>
    </row>
    <row r="40" spans="2:10" x14ac:dyDescent="0.3">
      <c r="B40" s="79">
        <v>38</v>
      </c>
      <c r="C40" s="79" t="s">
        <v>198</v>
      </c>
      <c r="D40" s="79" t="s">
        <v>197</v>
      </c>
      <c r="E40" s="79">
        <v>11.1</v>
      </c>
      <c r="F40" s="79">
        <v>8.6</v>
      </c>
      <c r="G40" s="79">
        <v>9.8000000000000007</v>
      </c>
      <c r="H40" s="79">
        <v>13.1</v>
      </c>
      <c r="I40" s="79">
        <v>17.7</v>
      </c>
      <c r="J40" s="79">
        <v>21.7</v>
      </c>
    </row>
    <row r="41" spans="2:10" x14ac:dyDescent="0.3">
      <c r="B41" s="79">
        <v>39</v>
      </c>
      <c r="C41" s="79" t="s">
        <v>198</v>
      </c>
      <c r="D41" s="79" t="s">
        <v>194</v>
      </c>
      <c r="E41" s="79">
        <v>9.6</v>
      </c>
      <c r="F41" s="79">
        <v>7.2</v>
      </c>
      <c r="G41" s="79">
        <v>9.6999999999999993</v>
      </c>
      <c r="H41" s="79">
        <v>14</v>
      </c>
      <c r="I41" s="79">
        <v>20.100000000000001</v>
      </c>
      <c r="J41" s="79">
        <v>24.5</v>
      </c>
    </row>
    <row r="42" spans="2:10" x14ac:dyDescent="0.3">
      <c r="B42" s="79">
        <v>40</v>
      </c>
      <c r="C42" s="79" t="s">
        <v>198</v>
      </c>
      <c r="D42" s="79" t="s">
        <v>195</v>
      </c>
      <c r="E42" s="79">
        <v>5.8</v>
      </c>
      <c r="F42" s="79">
        <v>3.4</v>
      </c>
      <c r="G42" s="79">
        <v>6.5</v>
      </c>
      <c r="H42" s="79">
        <v>12.2</v>
      </c>
      <c r="I42" s="79">
        <v>19.600000000000001</v>
      </c>
      <c r="J42" s="79">
        <v>24.3</v>
      </c>
    </row>
    <row r="43" spans="2:10" x14ac:dyDescent="0.3">
      <c r="B43" s="79">
        <v>41</v>
      </c>
      <c r="C43" s="79" t="s">
        <v>198</v>
      </c>
      <c r="D43" s="79" t="s">
        <v>195</v>
      </c>
      <c r="E43" s="79">
        <v>5.6</v>
      </c>
      <c r="F43" s="79">
        <v>3.1</v>
      </c>
      <c r="G43" s="79">
        <v>6.1</v>
      </c>
      <c r="H43" s="79">
        <v>11.6</v>
      </c>
      <c r="I43" s="79">
        <v>18.899999999999999</v>
      </c>
      <c r="J43" s="79">
        <v>23.5</v>
      </c>
    </row>
    <row r="44" spans="2:10" x14ac:dyDescent="0.3">
      <c r="B44" s="79">
        <v>42</v>
      </c>
      <c r="C44" s="79" t="s">
        <v>198</v>
      </c>
      <c r="D44" s="79" t="s">
        <v>192</v>
      </c>
      <c r="E44" s="79">
        <v>3.9</v>
      </c>
      <c r="F44" s="79">
        <v>1.9</v>
      </c>
      <c r="G44" s="79">
        <v>5.6</v>
      </c>
      <c r="H44" s="79">
        <v>11.3</v>
      </c>
      <c r="I44" s="79">
        <v>19</v>
      </c>
      <c r="J44" s="79">
        <v>23.9</v>
      </c>
    </row>
    <row r="45" spans="2:10" x14ac:dyDescent="0.3">
      <c r="B45" s="79">
        <v>43</v>
      </c>
      <c r="C45" s="79" t="s">
        <v>198</v>
      </c>
      <c r="D45" s="79" t="s">
        <v>193</v>
      </c>
      <c r="E45" s="79">
        <v>9.1999999999999993</v>
      </c>
      <c r="F45" s="79">
        <v>6.8</v>
      </c>
      <c r="G45" s="79">
        <v>9.1</v>
      </c>
      <c r="H45" s="79">
        <v>13</v>
      </c>
      <c r="I45" s="79">
        <v>19.100000000000001</v>
      </c>
      <c r="J45" s="79">
        <v>23.1</v>
      </c>
    </row>
    <row r="46" spans="2:10" x14ac:dyDescent="0.3">
      <c r="B46" s="79">
        <v>44</v>
      </c>
      <c r="C46" s="79" t="s">
        <v>198</v>
      </c>
      <c r="D46" s="79" t="s">
        <v>194</v>
      </c>
      <c r="E46" s="79">
        <v>8.1</v>
      </c>
      <c r="F46" s="79">
        <v>5.3</v>
      </c>
      <c r="G46" s="79">
        <v>6.3</v>
      </c>
      <c r="H46" s="79">
        <v>9.4</v>
      </c>
      <c r="I46" s="79">
        <v>14.2</v>
      </c>
      <c r="J46" s="79">
        <v>18.600000000000001</v>
      </c>
    </row>
    <row r="47" spans="2:10" x14ac:dyDescent="0.3">
      <c r="B47" s="79">
        <v>45</v>
      </c>
      <c r="C47" s="79" t="s">
        <v>199</v>
      </c>
      <c r="D47" s="79" t="s">
        <v>192</v>
      </c>
      <c r="E47" s="79">
        <v>3.5</v>
      </c>
      <c r="F47" s="79">
        <v>0.9</v>
      </c>
      <c r="G47" s="79">
        <v>2.8</v>
      </c>
      <c r="H47" s="79">
        <v>6.7</v>
      </c>
      <c r="I47" s="79">
        <v>13.1</v>
      </c>
      <c r="J47" s="79">
        <v>17.5</v>
      </c>
    </row>
    <row r="48" spans="2:10" x14ac:dyDescent="0.3">
      <c r="B48" s="79">
        <v>46</v>
      </c>
      <c r="C48" s="79" t="s">
        <v>199</v>
      </c>
      <c r="D48" s="79" t="s">
        <v>193</v>
      </c>
      <c r="E48" s="79">
        <v>8.6</v>
      </c>
      <c r="F48" s="79">
        <v>6.2</v>
      </c>
      <c r="G48" s="79">
        <v>6.7</v>
      </c>
      <c r="H48" s="79">
        <v>9.3000000000000007</v>
      </c>
      <c r="I48" s="79">
        <v>13.3</v>
      </c>
      <c r="J48" s="79">
        <v>16.8</v>
      </c>
    </row>
    <row r="49" spans="2:10" x14ac:dyDescent="0.3">
      <c r="B49" s="79">
        <v>47</v>
      </c>
      <c r="C49" s="79" t="s">
        <v>199</v>
      </c>
      <c r="D49" s="79" t="s">
        <v>194</v>
      </c>
      <c r="E49" s="79">
        <v>3.3</v>
      </c>
      <c r="F49" s="79">
        <v>1.1000000000000001</v>
      </c>
      <c r="G49" s="79">
        <v>2.9</v>
      </c>
      <c r="H49" s="79">
        <v>7.3</v>
      </c>
      <c r="I49" s="79">
        <v>13.3</v>
      </c>
      <c r="J49" s="79">
        <v>18.399999999999999</v>
      </c>
    </row>
    <row r="50" spans="2:10" x14ac:dyDescent="0.3">
      <c r="B50" s="79">
        <v>48</v>
      </c>
      <c r="C50" s="79" t="s">
        <v>199</v>
      </c>
      <c r="D50" s="79" t="s">
        <v>192</v>
      </c>
      <c r="E50" s="79">
        <v>-4.2</v>
      </c>
      <c r="F50" s="79">
        <v>-7</v>
      </c>
      <c r="G50" s="79">
        <v>-4.7</v>
      </c>
      <c r="H50" s="79">
        <v>0</v>
      </c>
      <c r="I50" s="79">
        <v>6.9</v>
      </c>
      <c r="J50" s="79">
        <v>12</v>
      </c>
    </row>
    <row r="51" spans="2:10" x14ac:dyDescent="0.3">
      <c r="B51" s="79">
        <v>49</v>
      </c>
      <c r="C51" s="79" t="s">
        <v>199</v>
      </c>
      <c r="D51" s="79" t="s">
        <v>193</v>
      </c>
      <c r="E51" s="79">
        <v>3.1</v>
      </c>
      <c r="F51" s="79">
        <v>1.1000000000000001</v>
      </c>
      <c r="G51" s="79">
        <v>3.5</v>
      </c>
      <c r="H51" s="79">
        <v>8.1</v>
      </c>
      <c r="I51" s="79">
        <v>14.4</v>
      </c>
      <c r="J51" s="79">
        <v>19.2</v>
      </c>
    </row>
    <row r="52" spans="2:10" x14ac:dyDescent="0.3">
      <c r="B52" s="79">
        <v>50</v>
      </c>
      <c r="C52" s="79" t="s">
        <v>199</v>
      </c>
      <c r="D52" s="79" t="s">
        <v>195</v>
      </c>
      <c r="E52" s="79">
        <v>1.2</v>
      </c>
      <c r="F52" s="79">
        <v>-1</v>
      </c>
      <c r="G52" s="79">
        <v>1.3</v>
      </c>
      <c r="H52" s="79">
        <v>6.3</v>
      </c>
      <c r="I52" s="79">
        <v>12.9</v>
      </c>
      <c r="J52" s="79">
        <v>18.100000000000001</v>
      </c>
    </row>
    <row r="53" spans="2:10" x14ac:dyDescent="0.3">
      <c r="B53" s="79">
        <v>51</v>
      </c>
      <c r="C53" s="79" t="s">
        <v>199</v>
      </c>
      <c r="D53" s="79" t="s">
        <v>194</v>
      </c>
      <c r="E53" s="79">
        <v>4.4000000000000004</v>
      </c>
      <c r="F53" s="79">
        <v>2</v>
      </c>
      <c r="G53" s="79">
        <v>3.2</v>
      </c>
      <c r="H53" s="79">
        <v>6.9</v>
      </c>
      <c r="I53" s="79">
        <v>12.4</v>
      </c>
      <c r="J53" s="79">
        <v>17.3</v>
      </c>
    </row>
    <row r="54" spans="2:10" x14ac:dyDescent="0.3">
      <c r="B54" s="79">
        <v>52</v>
      </c>
      <c r="C54" s="79" t="s">
        <v>199</v>
      </c>
      <c r="D54" s="79" t="s">
        <v>193</v>
      </c>
      <c r="E54" s="79">
        <v>6.1</v>
      </c>
      <c r="F54" s="79">
        <v>3.6</v>
      </c>
      <c r="G54" s="79">
        <v>5.4</v>
      </c>
      <c r="H54" s="79">
        <v>8.9</v>
      </c>
      <c r="I54" s="79">
        <v>13.7</v>
      </c>
      <c r="J54" s="79">
        <v>17.5</v>
      </c>
    </row>
    <row r="55" spans="2:10" x14ac:dyDescent="0.3">
      <c r="B55" s="79">
        <v>53</v>
      </c>
      <c r="C55" s="79" t="s">
        <v>199</v>
      </c>
      <c r="D55" s="79" t="s">
        <v>195</v>
      </c>
      <c r="E55" s="79">
        <v>0.9</v>
      </c>
      <c r="F55" s="79">
        <v>-1.6</v>
      </c>
      <c r="G55" s="79">
        <v>0.1</v>
      </c>
      <c r="H55" s="79">
        <v>4.7</v>
      </c>
      <c r="I55" s="79">
        <v>10.9</v>
      </c>
      <c r="J55" s="79">
        <v>16.399999999999999</v>
      </c>
    </row>
    <row r="56" spans="2:10" x14ac:dyDescent="0.3">
      <c r="B56" s="79">
        <v>54</v>
      </c>
      <c r="C56" s="79" t="s">
        <v>199</v>
      </c>
      <c r="D56" s="79" t="s">
        <v>196</v>
      </c>
      <c r="E56" s="79">
        <v>0.6</v>
      </c>
      <c r="F56" s="79">
        <v>-1.8</v>
      </c>
      <c r="G56" s="79">
        <v>0.9</v>
      </c>
      <c r="H56" s="79">
        <v>5.9</v>
      </c>
      <c r="I56" s="79">
        <v>12.6</v>
      </c>
      <c r="J56" s="79">
        <v>18</v>
      </c>
    </row>
    <row r="57" spans="2:10" x14ac:dyDescent="0.3">
      <c r="B57" s="79">
        <v>55</v>
      </c>
      <c r="C57" s="79" t="s">
        <v>199</v>
      </c>
      <c r="D57" s="79" t="s">
        <v>196</v>
      </c>
      <c r="E57" s="79">
        <v>0.3</v>
      </c>
      <c r="F57" s="79">
        <v>-2.1</v>
      </c>
      <c r="G57" s="79">
        <v>0.2</v>
      </c>
      <c r="H57" s="79">
        <v>5.4</v>
      </c>
      <c r="I57" s="79">
        <v>11.9</v>
      </c>
      <c r="J57" s="79">
        <v>17.399999999999999</v>
      </c>
    </row>
    <row r="58" spans="2:10" x14ac:dyDescent="0.3">
      <c r="B58" s="79">
        <v>56</v>
      </c>
      <c r="C58" s="79" t="s">
        <v>199</v>
      </c>
      <c r="D58" s="79" t="s">
        <v>193</v>
      </c>
      <c r="E58" s="79">
        <v>0.1</v>
      </c>
      <c r="F58" s="79">
        <v>-1.9</v>
      </c>
      <c r="G58" s="79">
        <v>0.6</v>
      </c>
      <c r="H58" s="79">
        <v>5.7</v>
      </c>
      <c r="I58" s="79">
        <v>12.3</v>
      </c>
      <c r="J58" s="79">
        <v>17.399999999999999</v>
      </c>
    </row>
    <row r="59" spans="2:10" x14ac:dyDescent="0.3">
      <c r="B59" s="79">
        <v>57</v>
      </c>
      <c r="C59" s="79" t="s">
        <v>199</v>
      </c>
      <c r="D59" s="79" t="s">
        <v>192</v>
      </c>
      <c r="E59" s="79">
        <v>-1</v>
      </c>
      <c r="F59" s="79">
        <v>-3.3</v>
      </c>
      <c r="G59" s="79">
        <v>-0.6</v>
      </c>
      <c r="H59" s="79">
        <v>5.0999999999999996</v>
      </c>
      <c r="I59" s="79">
        <v>12.1</v>
      </c>
      <c r="J59" s="79">
        <v>17.5</v>
      </c>
    </row>
    <row r="60" spans="2:10" x14ac:dyDescent="0.3">
      <c r="B60" s="79">
        <v>58</v>
      </c>
      <c r="C60" s="79" t="s">
        <v>199</v>
      </c>
      <c r="D60" s="79" t="s">
        <v>196</v>
      </c>
      <c r="E60" s="79">
        <v>1.1000000000000001</v>
      </c>
      <c r="F60" s="79">
        <v>-1.4</v>
      </c>
      <c r="G60" s="79">
        <v>0.8</v>
      </c>
      <c r="H60" s="79">
        <v>5.5</v>
      </c>
      <c r="I60" s="79">
        <v>11.5</v>
      </c>
      <c r="J60" s="79">
        <v>16.600000000000001</v>
      </c>
    </row>
    <row r="61" spans="2:10" x14ac:dyDescent="0.3">
      <c r="B61" s="79">
        <v>59</v>
      </c>
      <c r="C61" s="79" t="s">
        <v>199</v>
      </c>
      <c r="D61" s="79" t="s">
        <v>194</v>
      </c>
      <c r="E61" s="79">
        <v>2.4</v>
      </c>
      <c r="F61" s="79">
        <v>0.1</v>
      </c>
      <c r="G61" s="79">
        <v>1.9</v>
      </c>
      <c r="H61" s="79">
        <v>6.6</v>
      </c>
      <c r="I61" s="79">
        <v>12.9</v>
      </c>
      <c r="J61" s="79">
        <v>18.3</v>
      </c>
    </row>
    <row r="62" spans="2:10" x14ac:dyDescent="0.3">
      <c r="B62" s="79">
        <v>60</v>
      </c>
      <c r="C62" s="79" t="s">
        <v>199</v>
      </c>
      <c r="D62" s="79" t="s">
        <v>197</v>
      </c>
      <c r="E62" s="79">
        <v>8.4</v>
      </c>
      <c r="F62" s="79">
        <v>6.1</v>
      </c>
      <c r="G62" s="79">
        <v>6.8</v>
      </c>
      <c r="H62" s="79">
        <v>9.6</v>
      </c>
      <c r="I62" s="79">
        <v>14</v>
      </c>
      <c r="J62" s="79">
        <v>17.899999999999999</v>
      </c>
    </row>
    <row r="63" spans="2:10" x14ac:dyDescent="0.3">
      <c r="B63" s="79">
        <v>61</v>
      </c>
      <c r="C63" s="79" t="s">
        <v>199</v>
      </c>
      <c r="D63" s="79" t="s">
        <v>194</v>
      </c>
      <c r="E63" s="79">
        <v>2.2000000000000002</v>
      </c>
      <c r="F63" s="79">
        <v>0.4</v>
      </c>
      <c r="G63" s="79">
        <v>2.6</v>
      </c>
      <c r="H63" s="79">
        <v>7.1</v>
      </c>
      <c r="I63" s="79">
        <v>12.9</v>
      </c>
      <c r="J63" s="79">
        <v>17.899999999999999</v>
      </c>
    </row>
    <row r="64" spans="2:10" x14ac:dyDescent="0.3">
      <c r="B64" s="79">
        <v>62</v>
      </c>
      <c r="C64" s="79" t="s">
        <v>199</v>
      </c>
      <c r="D64" s="79" t="s">
        <v>195</v>
      </c>
      <c r="E64" s="79">
        <v>0.7</v>
      </c>
      <c r="F64" s="79">
        <v>-1.6</v>
      </c>
      <c r="G64" s="79">
        <v>0.8</v>
      </c>
      <c r="H64" s="79">
        <v>6.1</v>
      </c>
      <c r="I64" s="79">
        <v>12.9</v>
      </c>
      <c r="J64" s="79">
        <v>18.2</v>
      </c>
    </row>
    <row r="65" spans="2:10" x14ac:dyDescent="0.3">
      <c r="B65" s="79">
        <v>63</v>
      </c>
      <c r="C65" s="79" t="s">
        <v>199</v>
      </c>
      <c r="D65" s="79" t="s">
        <v>195</v>
      </c>
      <c r="E65" s="79">
        <v>0.4</v>
      </c>
      <c r="F65" s="79">
        <v>-1.7</v>
      </c>
      <c r="G65" s="79">
        <v>0.5</v>
      </c>
      <c r="H65" s="79">
        <v>5.4</v>
      </c>
      <c r="I65" s="79">
        <v>12.1</v>
      </c>
      <c r="J65" s="79">
        <v>16.899999999999999</v>
      </c>
    </row>
    <row r="66" spans="2:10" x14ac:dyDescent="0.3">
      <c r="B66" s="79">
        <v>64</v>
      </c>
      <c r="C66" s="79" t="s">
        <v>199</v>
      </c>
      <c r="D66" s="79" t="s">
        <v>192</v>
      </c>
      <c r="E66" s="79">
        <v>-1.7</v>
      </c>
      <c r="F66" s="79">
        <v>-4</v>
      </c>
      <c r="G66" s="79">
        <v>-1</v>
      </c>
      <c r="H66" s="79">
        <v>4.7</v>
      </c>
      <c r="I66" s="79">
        <v>11.7</v>
      </c>
      <c r="J66" s="79">
        <v>17.2</v>
      </c>
    </row>
    <row r="67" spans="2:10" x14ac:dyDescent="0.3">
      <c r="B67" s="79">
        <v>65</v>
      </c>
      <c r="C67" s="79" t="s">
        <v>199</v>
      </c>
      <c r="D67" s="79" t="s">
        <v>193</v>
      </c>
      <c r="E67" s="79">
        <v>4.5999999999999996</v>
      </c>
      <c r="F67" s="79">
        <v>2.2000000000000002</v>
      </c>
      <c r="G67" s="79">
        <v>4.3</v>
      </c>
      <c r="H67" s="79">
        <v>8.1999999999999993</v>
      </c>
      <c r="I67" s="79">
        <v>14</v>
      </c>
      <c r="J67" s="79">
        <v>18.2</v>
      </c>
    </row>
    <row r="68" spans="2:10" x14ac:dyDescent="0.3">
      <c r="B68" s="79">
        <v>66</v>
      </c>
      <c r="C68" s="79" t="s">
        <v>199</v>
      </c>
      <c r="D68" s="79" t="s">
        <v>194</v>
      </c>
      <c r="E68" s="79">
        <v>5.9</v>
      </c>
      <c r="F68" s="79">
        <v>3.3</v>
      </c>
      <c r="G68" s="79">
        <v>3.8</v>
      </c>
      <c r="H68" s="79">
        <v>6.2</v>
      </c>
      <c r="I68" s="79">
        <v>10.5</v>
      </c>
      <c r="J68" s="79">
        <v>14.8</v>
      </c>
    </row>
    <row r="69" spans="2:10" x14ac:dyDescent="0.3">
      <c r="B69" s="79">
        <v>67</v>
      </c>
      <c r="C69" s="79" t="s">
        <v>200</v>
      </c>
      <c r="D69" s="79" t="s">
        <v>192</v>
      </c>
      <c r="E69" s="79">
        <v>47</v>
      </c>
      <c r="F69" s="79">
        <v>49</v>
      </c>
      <c r="G69" s="79">
        <v>50</v>
      </c>
      <c r="H69" s="79">
        <v>55</v>
      </c>
      <c r="I69" s="79">
        <v>53</v>
      </c>
      <c r="J69" s="79">
        <v>61</v>
      </c>
    </row>
    <row r="70" spans="2:10" x14ac:dyDescent="0.3">
      <c r="B70" s="79">
        <v>68</v>
      </c>
      <c r="C70" s="79" t="s">
        <v>200</v>
      </c>
      <c r="D70" s="79" t="s">
        <v>193</v>
      </c>
      <c r="E70" s="79">
        <v>66</v>
      </c>
      <c r="F70" s="79">
        <v>67</v>
      </c>
      <c r="G70" s="79">
        <v>68</v>
      </c>
      <c r="H70" s="79">
        <v>69</v>
      </c>
      <c r="I70" s="79">
        <v>73</v>
      </c>
      <c r="J70" s="79">
        <v>79</v>
      </c>
    </row>
    <row r="71" spans="2:10" x14ac:dyDescent="0.3">
      <c r="B71" s="79">
        <v>69</v>
      </c>
      <c r="C71" s="79" t="s">
        <v>200</v>
      </c>
      <c r="D71" s="79" t="s">
        <v>194</v>
      </c>
      <c r="E71" s="79">
        <v>67</v>
      </c>
      <c r="F71" s="79">
        <v>66</v>
      </c>
      <c r="G71" s="79">
        <v>62</v>
      </c>
      <c r="H71" s="79">
        <v>61</v>
      </c>
      <c r="I71" s="79">
        <v>60</v>
      </c>
      <c r="J71" s="79">
        <v>65</v>
      </c>
    </row>
    <row r="72" spans="2:10" x14ac:dyDescent="0.3">
      <c r="B72" s="79">
        <v>70</v>
      </c>
      <c r="C72" s="79" t="s">
        <v>200</v>
      </c>
      <c r="D72" s="79" t="s">
        <v>192</v>
      </c>
      <c r="E72" s="79">
        <v>67</v>
      </c>
      <c r="F72" s="79">
        <v>68</v>
      </c>
      <c r="G72" s="79">
        <v>66</v>
      </c>
      <c r="H72" s="79">
        <v>67</v>
      </c>
      <c r="I72" s="79">
        <v>61</v>
      </c>
      <c r="J72" s="79">
        <v>69</v>
      </c>
    </row>
    <row r="73" spans="2:10" x14ac:dyDescent="0.3">
      <c r="B73" s="79">
        <v>71</v>
      </c>
      <c r="C73" s="79" t="s">
        <v>200</v>
      </c>
      <c r="D73" s="79" t="s">
        <v>193</v>
      </c>
      <c r="E73" s="79">
        <v>54</v>
      </c>
      <c r="F73" s="79">
        <v>53</v>
      </c>
      <c r="G73" s="79">
        <v>50</v>
      </c>
      <c r="H73" s="79">
        <v>51</v>
      </c>
      <c r="I73" s="79">
        <v>51</v>
      </c>
      <c r="J73" s="79">
        <v>57</v>
      </c>
    </row>
    <row r="74" spans="2:10" x14ac:dyDescent="0.3">
      <c r="B74" s="79">
        <v>72</v>
      </c>
      <c r="C74" s="79" t="s">
        <v>200</v>
      </c>
      <c r="D74" s="79" t="s">
        <v>195</v>
      </c>
      <c r="E74" s="79">
        <v>67</v>
      </c>
      <c r="F74" s="79">
        <v>65</v>
      </c>
      <c r="G74" s="79">
        <v>60</v>
      </c>
      <c r="H74" s="79">
        <v>58</v>
      </c>
      <c r="I74" s="79">
        <v>56</v>
      </c>
      <c r="J74" s="79">
        <v>63</v>
      </c>
    </row>
    <row r="75" spans="2:10" x14ac:dyDescent="0.3">
      <c r="B75" s="79">
        <v>73</v>
      </c>
      <c r="C75" s="79" t="s">
        <v>200</v>
      </c>
      <c r="D75" s="79" t="s">
        <v>194</v>
      </c>
      <c r="E75" s="79">
        <v>68</v>
      </c>
      <c r="F75" s="79">
        <v>68</v>
      </c>
      <c r="G75" s="79">
        <v>68</v>
      </c>
      <c r="H75" s="79">
        <v>67</v>
      </c>
      <c r="I75" s="79">
        <v>67</v>
      </c>
      <c r="J75" s="79">
        <v>72</v>
      </c>
    </row>
    <row r="76" spans="2:10" x14ac:dyDescent="0.3">
      <c r="B76" s="79">
        <v>74</v>
      </c>
      <c r="C76" s="79" t="s">
        <v>200</v>
      </c>
      <c r="D76" s="79" t="s">
        <v>193</v>
      </c>
      <c r="E76" s="79">
        <v>48</v>
      </c>
      <c r="F76" s="79">
        <v>48</v>
      </c>
      <c r="G76" s="79">
        <v>49</v>
      </c>
      <c r="H76" s="79">
        <v>56</v>
      </c>
      <c r="I76" s="79">
        <v>62</v>
      </c>
      <c r="J76" s="79">
        <v>70</v>
      </c>
    </row>
    <row r="77" spans="2:10" x14ac:dyDescent="0.3">
      <c r="B77" s="79">
        <v>75</v>
      </c>
      <c r="C77" s="79" t="s">
        <v>200</v>
      </c>
      <c r="D77" s="79" t="s">
        <v>195</v>
      </c>
      <c r="E77" s="79">
        <v>71</v>
      </c>
      <c r="F77" s="79">
        <v>70</v>
      </c>
      <c r="G77" s="79">
        <v>68</v>
      </c>
      <c r="H77" s="79">
        <v>67</v>
      </c>
      <c r="I77" s="79">
        <v>66</v>
      </c>
      <c r="J77" s="79">
        <v>71</v>
      </c>
    </row>
    <row r="78" spans="2:10" x14ac:dyDescent="0.3">
      <c r="B78" s="79">
        <v>76</v>
      </c>
      <c r="C78" s="79" t="s">
        <v>200</v>
      </c>
      <c r="D78" s="79" t="s">
        <v>196</v>
      </c>
      <c r="E78" s="79">
        <v>59</v>
      </c>
      <c r="F78" s="79">
        <v>58</v>
      </c>
      <c r="G78" s="79">
        <v>56</v>
      </c>
      <c r="H78" s="79">
        <v>56</v>
      </c>
      <c r="I78" s="79">
        <v>55</v>
      </c>
      <c r="J78" s="79">
        <v>61</v>
      </c>
    </row>
    <row r="79" spans="2:10" x14ac:dyDescent="0.3">
      <c r="B79" s="79">
        <v>77</v>
      </c>
      <c r="C79" s="79" t="s">
        <v>200</v>
      </c>
      <c r="D79" s="79" t="s">
        <v>196</v>
      </c>
      <c r="E79" s="79">
        <v>64</v>
      </c>
      <c r="F79" s="79">
        <v>63</v>
      </c>
      <c r="G79" s="79">
        <v>62</v>
      </c>
      <c r="H79" s="79">
        <v>62</v>
      </c>
      <c r="I79" s="79">
        <v>61</v>
      </c>
      <c r="J79" s="79">
        <v>66</v>
      </c>
    </row>
    <row r="80" spans="2:10" x14ac:dyDescent="0.3">
      <c r="B80" s="79">
        <v>78</v>
      </c>
      <c r="C80" s="79" t="s">
        <v>200</v>
      </c>
      <c r="D80" s="79" t="s">
        <v>193</v>
      </c>
      <c r="E80" s="79">
        <v>64</v>
      </c>
      <c r="F80" s="79">
        <v>62</v>
      </c>
      <c r="G80" s="79">
        <v>59</v>
      </c>
      <c r="H80" s="79">
        <v>58</v>
      </c>
      <c r="I80" s="79">
        <v>56</v>
      </c>
      <c r="J80" s="79">
        <v>63</v>
      </c>
    </row>
    <row r="81" spans="2:10" x14ac:dyDescent="0.3">
      <c r="B81" s="79">
        <v>79</v>
      </c>
      <c r="C81" s="79" t="s">
        <v>200</v>
      </c>
      <c r="D81" s="79" t="s">
        <v>192</v>
      </c>
      <c r="E81" s="79">
        <v>69</v>
      </c>
      <c r="F81" s="79">
        <v>67</v>
      </c>
      <c r="G81" s="79">
        <v>63</v>
      </c>
      <c r="H81" s="79">
        <v>61</v>
      </c>
      <c r="I81" s="79">
        <v>58</v>
      </c>
      <c r="J81" s="79">
        <v>64</v>
      </c>
    </row>
    <row r="82" spans="2:10" x14ac:dyDescent="0.3">
      <c r="B82" s="79">
        <v>80</v>
      </c>
      <c r="C82" s="79" t="s">
        <v>200</v>
      </c>
      <c r="D82" s="79" t="s">
        <v>196</v>
      </c>
      <c r="E82" s="79">
        <v>61</v>
      </c>
      <c r="F82" s="79">
        <v>61</v>
      </c>
      <c r="G82" s="79">
        <v>60</v>
      </c>
      <c r="H82" s="79">
        <v>63</v>
      </c>
      <c r="I82" s="79">
        <v>63</v>
      </c>
      <c r="J82" s="79">
        <v>69</v>
      </c>
    </row>
    <row r="83" spans="2:10" x14ac:dyDescent="0.3">
      <c r="B83" s="79">
        <v>81</v>
      </c>
      <c r="C83" s="79" t="s">
        <v>200</v>
      </c>
      <c r="D83" s="79" t="s">
        <v>194</v>
      </c>
      <c r="E83" s="79">
        <v>68</v>
      </c>
      <c r="F83" s="79">
        <v>68</v>
      </c>
      <c r="G83" s="79">
        <v>65</v>
      </c>
      <c r="H83" s="79">
        <v>62</v>
      </c>
      <c r="I83" s="79">
        <v>59</v>
      </c>
      <c r="J83" s="79">
        <v>64</v>
      </c>
    </row>
    <row r="84" spans="2:10" x14ac:dyDescent="0.3">
      <c r="B84" s="79">
        <v>82</v>
      </c>
      <c r="C84" s="79" t="s">
        <v>200</v>
      </c>
      <c r="D84" s="79" t="s">
        <v>197</v>
      </c>
      <c r="E84" s="79">
        <v>64</v>
      </c>
      <c r="F84" s="79">
        <v>64</v>
      </c>
      <c r="G84" s="79">
        <v>63</v>
      </c>
      <c r="H84" s="79">
        <v>63</v>
      </c>
      <c r="I84" s="79">
        <v>64</v>
      </c>
      <c r="J84" s="79">
        <v>68</v>
      </c>
    </row>
    <row r="85" spans="2:10" x14ac:dyDescent="0.3">
      <c r="B85" s="79">
        <v>83</v>
      </c>
      <c r="C85" s="79" t="s">
        <v>200</v>
      </c>
      <c r="D85" s="79" t="s">
        <v>194</v>
      </c>
      <c r="E85" s="79">
        <v>63</v>
      </c>
      <c r="F85" s="79">
        <v>59</v>
      </c>
      <c r="G85" s="79">
        <v>58</v>
      </c>
      <c r="H85" s="79">
        <v>59</v>
      </c>
      <c r="I85" s="79">
        <v>61</v>
      </c>
      <c r="J85" s="79">
        <v>67</v>
      </c>
    </row>
    <row r="86" spans="2:10" x14ac:dyDescent="0.3">
      <c r="B86" s="79">
        <v>84</v>
      </c>
      <c r="C86" s="79" t="s">
        <v>200</v>
      </c>
      <c r="D86" s="79" t="s">
        <v>195</v>
      </c>
      <c r="E86" s="79">
        <v>66</v>
      </c>
      <c r="F86" s="79">
        <v>65</v>
      </c>
      <c r="G86" s="79">
        <v>61</v>
      </c>
      <c r="H86" s="79">
        <v>58</v>
      </c>
      <c r="I86" s="79">
        <v>54</v>
      </c>
      <c r="J86" s="79">
        <v>59</v>
      </c>
    </row>
    <row r="87" spans="2:10" x14ac:dyDescent="0.3">
      <c r="B87" s="79">
        <v>85</v>
      </c>
      <c r="C87" s="79" t="s">
        <v>200</v>
      </c>
      <c r="D87" s="79" t="s">
        <v>195</v>
      </c>
      <c r="E87" s="79">
        <v>63</v>
      </c>
      <c r="F87" s="79">
        <v>62</v>
      </c>
      <c r="G87" s="79">
        <v>58</v>
      </c>
      <c r="H87" s="79">
        <v>57</v>
      </c>
      <c r="I87" s="79">
        <v>55</v>
      </c>
      <c r="J87" s="79">
        <v>63</v>
      </c>
    </row>
    <row r="88" spans="2:10" x14ac:dyDescent="0.3">
      <c r="B88" s="79">
        <v>86</v>
      </c>
      <c r="C88" s="79" t="s">
        <v>200</v>
      </c>
      <c r="D88" s="79" t="s">
        <v>192</v>
      </c>
      <c r="E88" s="79">
        <v>72</v>
      </c>
      <c r="F88" s="79">
        <v>68</v>
      </c>
      <c r="G88" s="79">
        <v>64</v>
      </c>
      <c r="H88" s="79">
        <v>62</v>
      </c>
      <c r="I88" s="79">
        <v>59</v>
      </c>
      <c r="J88" s="79">
        <v>66</v>
      </c>
    </row>
    <row r="89" spans="2:10" x14ac:dyDescent="0.3">
      <c r="B89" s="79">
        <v>87</v>
      </c>
      <c r="C89" s="79" t="s">
        <v>200</v>
      </c>
      <c r="D89" s="79" t="s">
        <v>193</v>
      </c>
      <c r="E89" s="79">
        <v>50</v>
      </c>
      <c r="F89" s="79">
        <v>49</v>
      </c>
      <c r="G89" s="79">
        <v>50</v>
      </c>
      <c r="H89" s="79">
        <v>56</v>
      </c>
      <c r="I89" s="79">
        <v>57</v>
      </c>
      <c r="J89" s="79">
        <v>65</v>
      </c>
    </row>
    <row r="90" spans="2:10" x14ac:dyDescent="0.3">
      <c r="B90" s="79">
        <v>88</v>
      </c>
      <c r="C90" s="79" t="s">
        <v>200</v>
      </c>
      <c r="D90" s="79" t="s">
        <v>194</v>
      </c>
      <c r="E90" s="79">
        <v>67</v>
      </c>
      <c r="F90" s="79">
        <v>69</v>
      </c>
      <c r="G90" s="79">
        <v>71</v>
      </c>
      <c r="H90" s="79">
        <v>73</v>
      </c>
      <c r="I90" s="79">
        <v>76</v>
      </c>
      <c r="J90" s="79">
        <v>81</v>
      </c>
    </row>
  </sheetData>
  <phoneticPr fontId="7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6:F51"/>
  <sheetViews>
    <sheetView zoomScaleNormal="100" workbookViewId="0"/>
  </sheetViews>
  <sheetFormatPr defaultColWidth="9" defaultRowHeight="13.5" outlineLevelRow="2" x14ac:dyDescent="0.25"/>
  <cols>
    <col min="1" max="1" width="9" style="11"/>
    <col min="2" max="2" width="9" style="16"/>
    <col min="3" max="3" width="15.875" style="17" customWidth="1"/>
    <col min="4" max="4" width="8.75" style="17" customWidth="1"/>
    <col min="5" max="5" width="7.875" style="17" bestFit="1" customWidth="1"/>
    <col min="6" max="7" width="9" style="11"/>
    <col min="8" max="8" width="8.75" style="11" bestFit="1" customWidth="1"/>
    <col min="9" max="9" width="8.75" style="11" customWidth="1"/>
    <col min="10" max="10" width="6.75" style="11" bestFit="1" customWidth="1"/>
    <col min="11" max="12" width="9" style="11"/>
    <col min="13" max="13" width="8.75" style="11" bestFit="1" customWidth="1"/>
    <col min="14" max="14" width="8.75" style="11" customWidth="1"/>
    <col min="15" max="15" width="6.75" style="11" bestFit="1" customWidth="1"/>
    <col min="16" max="16384" width="9" style="11"/>
  </cols>
  <sheetData>
    <row r="6" spans="2:6" x14ac:dyDescent="0.25">
      <c r="B6" s="9" t="s">
        <v>201</v>
      </c>
      <c r="C6" s="10" t="s">
        <v>202</v>
      </c>
      <c r="D6" s="10" t="s">
        <v>203</v>
      </c>
      <c r="E6" s="10" t="s">
        <v>204</v>
      </c>
      <c r="F6" s="10" t="s">
        <v>205</v>
      </c>
    </row>
    <row r="7" spans="2:6" outlineLevel="2" x14ac:dyDescent="0.25">
      <c r="B7" s="12" t="s">
        <v>219</v>
      </c>
      <c r="C7" s="13" t="s">
        <v>207</v>
      </c>
      <c r="D7" s="14">
        <v>42462</v>
      </c>
      <c r="E7" s="14">
        <v>42465</v>
      </c>
      <c r="F7" s="15">
        <f>D7-E7</f>
        <v>-3</v>
      </c>
    </row>
    <row r="8" spans="2:6" outlineLevel="2" x14ac:dyDescent="0.25">
      <c r="B8" s="12" t="s">
        <v>220</v>
      </c>
      <c r="C8" s="13" t="s">
        <v>207</v>
      </c>
      <c r="D8" s="14">
        <v>42456</v>
      </c>
      <c r="E8" s="14">
        <v>42457</v>
      </c>
      <c r="F8" s="15">
        <f>D8-E8</f>
        <v>-1</v>
      </c>
    </row>
    <row r="9" spans="2:6" outlineLevel="2" x14ac:dyDescent="0.25">
      <c r="B9" s="12" t="s">
        <v>206</v>
      </c>
      <c r="C9" s="13" t="s">
        <v>207</v>
      </c>
      <c r="D9" s="14">
        <v>42454</v>
      </c>
      <c r="E9" s="14">
        <v>42454</v>
      </c>
      <c r="F9" s="15">
        <f>D9-E9</f>
        <v>0</v>
      </c>
    </row>
    <row r="10" spans="2:6" outlineLevel="1" x14ac:dyDescent="0.25">
      <c r="B10" s="12"/>
      <c r="C10" s="65" t="s">
        <v>259</v>
      </c>
      <c r="D10" s="14">
        <f>SUBTOTAL(1,D7:D9)</f>
        <v>42457.333333333336</v>
      </c>
      <c r="E10" s="14">
        <f>SUBTOTAL(1,E7:E9)</f>
        <v>42458.666666666664</v>
      </c>
      <c r="F10" s="15">
        <f>SUBTOTAL(1,F7:F9)</f>
        <v>-1.3333333333333333</v>
      </c>
    </row>
    <row r="11" spans="2:6" outlineLevel="2" x14ac:dyDescent="0.25">
      <c r="B11" s="12" t="s">
        <v>219</v>
      </c>
      <c r="C11" s="13" t="s">
        <v>209</v>
      </c>
      <c r="D11" s="14">
        <v>42458</v>
      </c>
      <c r="E11" s="14">
        <v>42462</v>
      </c>
      <c r="F11" s="15">
        <f>D11-E11</f>
        <v>-4</v>
      </c>
    </row>
    <row r="12" spans="2:6" outlineLevel="2" x14ac:dyDescent="0.25">
      <c r="B12" s="12" t="s">
        <v>220</v>
      </c>
      <c r="C12" s="13" t="s">
        <v>209</v>
      </c>
      <c r="D12" s="14">
        <v>42456</v>
      </c>
      <c r="E12" s="14">
        <v>42456</v>
      </c>
      <c r="F12" s="15">
        <f>D12-E12</f>
        <v>0</v>
      </c>
    </row>
    <row r="13" spans="2:6" outlineLevel="2" x14ac:dyDescent="0.25">
      <c r="B13" s="12" t="s">
        <v>208</v>
      </c>
      <c r="C13" s="13" t="s">
        <v>209</v>
      </c>
      <c r="D13" s="14">
        <v>42448</v>
      </c>
      <c r="E13" s="14">
        <v>42452</v>
      </c>
      <c r="F13" s="15">
        <f>D13-E13</f>
        <v>-4</v>
      </c>
    </row>
    <row r="14" spans="2:6" outlineLevel="1" x14ac:dyDescent="0.25">
      <c r="B14" s="12"/>
      <c r="C14" s="60" t="s">
        <v>260</v>
      </c>
      <c r="D14" s="14">
        <f>SUBTOTAL(1,D11:D13)</f>
        <v>42454</v>
      </c>
      <c r="E14" s="14">
        <f>SUBTOTAL(1,E11:E13)</f>
        <v>42456.666666666664</v>
      </c>
      <c r="F14" s="15">
        <f>SUBTOTAL(1,F11:F13)</f>
        <v>-2.6666666666666665</v>
      </c>
    </row>
    <row r="15" spans="2:6" outlineLevel="2" x14ac:dyDescent="0.25">
      <c r="B15" s="12" t="s">
        <v>219</v>
      </c>
      <c r="C15" s="13" t="s">
        <v>210</v>
      </c>
      <c r="D15" s="14">
        <v>42455</v>
      </c>
      <c r="E15" s="14">
        <v>42460</v>
      </c>
      <c r="F15" s="15">
        <f>D15-E15</f>
        <v>-5</v>
      </c>
    </row>
    <row r="16" spans="2:6" outlineLevel="2" x14ac:dyDescent="0.25">
      <c r="B16" s="12" t="s">
        <v>220</v>
      </c>
      <c r="C16" s="13" t="s">
        <v>210</v>
      </c>
      <c r="D16" s="14">
        <v>42453</v>
      </c>
      <c r="E16" s="14">
        <v>42455</v>
      </c>
      <c r="F16" s="15">
        <f>D16-E16</f>
        <v>-2</v>
      </c>
    </row>
    <row r="17" spans="2:6" outlineLevel="2" x14ac:dyDescent="0.25">
      <c r="B17" s="12" t="s">
        <v>208</v>
      </c>
      <c r="C17" s="13" t="s">
        <v>210</v>
      </c>
      <c r="D17" s="14">
        <v>42445</v>
      </c>
      <c r="E17" s="14">
        <v>42448</v>
      </c>
      <c r="F17" s="15">
        <f>D17-E17</f>
        <v>-3</v>
      </c>
    </row>
    <row r="18" spans="2:6" outlineLevel="1" x14ac:dyDescent="0.25">
      <c r="B18" s="12"/>
      <c r="C18" s="60" t="s">
        <v>261</v>
      </c>
      <c r="D18" s="14">
        <f>SUBTOTAL(1,D15:D17)</f>
        <v>42451</v>
      </c>
      <c r="E18" s="14">
        <f>SUBTOTAL(1,E15:E17)</f>
        <v>42454.333333333336</v>
      </c>
      <c r="F18" s="15">
        <f>SUBTOTAL(1,F15:F17)</f>
        <v>-3.3333333333333335</v>
      </c>
    </row>
    <row r="19" spans="2:6" outlineLevel="2" x14ac:dyDescent="0.25">
      <c r="B19" s="12" t="s">
        <v>219</v>
      </c>
      <c r="C19" s="13" t="s">
        <v>211</v>
      </c>
      <c r="D19" s="14">
        <v>42460</v>
      </c>
      <c r="E19" s="14">
        <v>42465</v>
      </c>
      <c r="F19" s="15">
        <f>D19-E19</f>
        <v>-5</v>
      </c>
    </row>
    <row r="20" spans="2:6" outlineLevel="2" x14ac:dyDescent="0.25">
      <c r="B20" s="12" t="s">
        <v>220</v>
      </c>
      <c r="C20" s="13" t="s">
        <v>211</v>
      </c>
      <c r="D20" s="14">
        <v>42456</v>
      </c>
      <c r="E20" s="14">
        <v>42458</v>
      </c>
      <c r="F20" s="15">
        <f>D20-E20</f>
        <v>-2</v>
      </c>
    </row>
    <row r="21" spans="2:6" outlineLevel="2" x14ac:dyDescent="0.25">
      <c r="B21" s="12" t="s">
        <v>208</v>
      </c>
      <c r="C21" s="13" t="s">
        <v>211</v>
      </c>
      <c r="D21" s="14">
        <v>42452</v>
      </c>
      <c r="E21" s="14">
        <v>42455</v>
      </c>
      <c r="F21" s="15">
        <f>D21-E21</f>
        <v>-3</v>
      </c>
    </row>
    <row r="22" spans="2:6" outlineLevel="1" x14ac:dyDescent="0.25">
      <c r="B22" s="12"/>
      <c r="C22" s="60" t="s">
        <v>262</v>
      </c>
      <c r="D22" s="14">
        <f>SUBTOTAL(1,D19:D21)</f>
        <v>42456</v>
      </c>
      <c r="E22" s="14">
        <f>SUBTOTAL(1,E19:E21)</f>
        <v>42459.333333333336</v>
      </c>
      <c r="F22" s="15">
        <f>SUBTOTAL(1,F19:F21)</f>
        <v>-3.3333333333333335</v>
      </c>
    </row>
    <row r="23" spans="2:6" outlineLevel="2" x14ac:dyDescent="0.25">
      <c r="B23" s="12" t="s">
        <v>219</v>
      </c>
      <c r="C23" s="13" t="s">
        <v>212</v>
      </c>
      <c r="D23" s="14">
        <v>42455</v>
      </c>
      <c r="E23" s="14">
        <v>42457</v>
      </c>
      <c r="F23" s="15">
        <f>D23-E23</f>
        <v>-2</v>
      </c>
    </row>
    <row r="24" spans="2:6" outlineLevel="2" x14ac:dyDescent="0.25">
      <c r="B24" s="12" t="s">
        <v>220</v>
      </c>
      <c r="C24" s="13" t="s">
        <v>212</v>
      </c>
      <c r="D24" s="14">
        <v>42447</v>
      </c>
      <c r="E24" s="14">
        <v>42448</v>
      </c>
      <c r="F24" s="15">
        <f>D24-E24</f>
        <v>-1</v>
      </c>
    </row>
    <row r="25" spans="2:6" outlineLevel="2" x14ac:dyDescent="0.25">
      <c r="B25" s="12" t="s">
        <v>208</v>
      </c>
      <c r="C25" s="13" t="s">
        <v>212</v>
      </c>
      <c r="D25" s="14">
        <v>42445</v>
      </c>
      <c r="E25" s="14">
        <v>42446</v>
      </c>
      <c r="F25" s="15">
        <f>D25-E25</f>
        <v>-1</v>
      </c>
    </row>
    <row r="26" spans="2:6" outlineLevel="1" x14ac:dyDescent="0.25">
      <c r="B26" s="12"/>
      <c r="C26" s="60" t="s">
        <v>263</v>
      </c>
      <c r="D26" s="14">
        <f>SUBTOTAL(1,D23:D25)</f>
        <v>42449</v>
      </c>
      <c r="E26" s="14">
        <f>SUBTOTAL(1,E23:E25)</f>
        <v>42450.333333333336</v>
      </c>
      <c r="F26" s="15">
        <f>SUBTOTAL(1,F23:F25)</f>
        <v>-1.3333333333333333</v>
      </c>
    </row>
    <row r="27" spans="2:6" outlineLevel="2" x14ac:dyDescent="0.25">
      <c r="B27" s="12" t="s">
        <v>219</v>
      </c>
      <c r="C27" s="13" t="s">
        <v>213</v>
      </c>
      <c r="D27" s="14">
        <v>42452</v>
      </c>
      <c r="E27" s="14">
        <v>42453</v>
      </c>
      <c r="F27" s="15">
        <f>D27-E27</f>
        <v>-1</v>
      </c>
    </row>
    <row r="28" spans="2:6" outlineLevel="2" x14ac:dyDescent="0.25">
      <c r="B28" s="12" t="s">
        <v>220</v>
      </c>
      <c r="C28" s="13" t="s">
        <v>213</v>
      </c>
      <c r="D28" s="14">
        <v>42445</v>
      </c>
      <c r="E28" s="14">
        <v>42449</v>
      </c>
      <c r="F28" s="15">
        <f>D28-E28</f>
        <v>-4</v>
      </c>
    </row>
    <row r="29" spans="2:6" outlineLevel="2" x14ac:dyDescent="0.25">
      <c r="B29" s="12" t="s">
        <v>208</v>
      </c>
      <c r="C29" s="13" t="s">
        <v>213</v>
      </c>
      <c r="D29" s="14">
        <v>42444</v>
      </c>
      <c r="E29" s="14">
        <v>42445</v>
      </c>
      <c r="F29" s="15">
        <f>D29-E29</f>
        <v>-1</v>
      </c>
    </row>
    <row r="30" spans="2:6" outlineLevel="1" x14ac:dyDescent="0.25">
      <c r="B30" s="12"/>
      <c r="C30" s="60" t="s">
        <v>264</v>
      </c>
      <c r="D30" s="14">
        <f>SUBTOTAL(1,D27:D29)</f>
        <v>42447</v>
      </c>
      <c r="E30" s="14">
        <f>SUBTOTAL(1,E27:E29)</f>
        <v>42449</v>
      </c>
      <c r="F30" s="15">
        <f>SUBTOTAL(1,F27:F29)</f>
        <v>-2</v>
      </c>
    </row>
    <row r="31" spans="2:6" outlineLevel="2" x14ac:dyDescent="0.25">
      <c r="B31" s="12" t="s">
        <v>219</v>
      </c>
      <c r="C31" s="13" t="s">
        <v>214</v>
      </c>
      <c r="D31" s="14">
        <v>42466</v>
      </c>
      <c r="E31" s="14">
        <v>42470</v>
      </c>
      <c r="F31" s="15">
        <f>D31-E31</f>
        <v>-4</v>
      </c>
    </row>
    <row r="32" spans="2:6" outlineLevel="2" x14ac:dyDescent="0.25">
      <c r="B32" s="12" t="s">
        <v>208</v>
      </c>
      <c r="C32" s="13" t="s">
        <v>214</v>
      </c>
      <c r="D32" s="14">
        <v>42456</v>
      </c>
      <c r="E32" s="14">
        <v>42455</v>
      </c>
      <c r="F32" s="15">
        <f>D32-E32</f>
        <v>1</v>
      </c>
    </row>
    <row r="33" spans="2:6" outlineLevel="2" x14ac:dyDescent="0.25">
      <c r="B33" s="12" t="s">
        <v>220</v>
      </c>
      <c r="C33" s="13" t="s">
        <v>214</v>
      </c>
      <c r="D33" s="14">
        <v>42456</v>
      </c>
      <c r="E33" s="14">
        <v>42458</v>
      </c>
      <c r="F33" s="15">
        <f>D33-E33</f>
        <v>-2</v>
      </c>
    </row>
    <row r="34" spans="2:6" outlineLevel="1" x14ac:dyDescent="0.25">
      <c r="B34" s="12"/>
      <c r="C34" s="60" t="s">
        <v>265</v>
      </c>
      <c r="D34" s="14">
        <f>SUBTOTAL(1,D31:D33)</f>
        <v>42459.333333333336</v>
      </c>
      <c r="E34" s="14">
        <f>SUBTOTAL(1,E31:E33)</f>
        <v>42461</v>
      </c>
      <c r="F34" s="15">
        <f>SUBTOTAL(1,F31:F33)</f>
        <v>-1.6666666666666667</v>
      </c>
    </row>
    <row r="35" spans="2:6" outlineLevel="2" x14ac:dyDescent="0.25">
      <c r="B35" s="12" t="s">
        <v>219</v>
      </c>
      <c r="C35" s="13" t="s">
        <v>215</v>
      </c>
      <c r="D35" s="14">
        <v>42467</v>
      </c>
      <c r="E35" s="14">
        <v>42470</v>
      </c>
      <c r="F35" s="15">
        <f>D35-E35</f>
        <v>-3</v>
      </c>
    </row>
    <row r="36" spans="2:6" outlineLevel="2" x14ac:dyDescent="0.25">
      <c r="B36" s="12" t="s">
        <v>220</v>
      </c>
      <c r="C36" s="13" t="s">
        <v>215</v>
      </c>
      <c r="D36" s="14">
        <v>42459</v>
      </c>
      <c r="E36" s="14">
        <v>42460</v>
      </c>
      <c r="F36" s="15">
        <f>D36-E36</f>
        <v>-1</v>
      </c>
    </row>
    <row r="37" spans="2:6" outlineLevel="2" x14ac:dyDescent="0.25">
      <c r="B37" s="12" t="s">
        <v>208</v>
      </c>
      <c r="C37" s="13" t="s">
        <v>215</v>
      </c>
      <c r="D37" s="14">
        <v>42458</v>
      </c>
      <c r="E37" s="14">
        <v>42460</v>
      </c>
      <c r="F37" s="15">
        <f>D37-E37</f>
        <v>-2</v>
      </c>
    </row>
    <row r="38" spans="2:6" outlineLevel="1" x14ac:dyDescent="0.25">
      <c r="B38" s="12"/>
      <c r="C38" s="60" t="s">
        <v>266</v>
      </c>
      <c r="D38" s="14">
        <f>SUBTOTAL(1,D35:D37)</f>
        <v>42461.333333333336</v>
      </c>
      <c r="E38" s="14">
        <f>SUBTOTAL(1,E35:E37)</f>
        <v>42463.333333333336</v>
      </c>
      <c r="F38" s="15">
        <f>SUBTOTAL(1,F35:F37)</f>
        <v>-2</v>
      </c>
    </row>
    <row r="39" spans="2:6" outlineLevel="2" x14ac:dyDescent="0.25">
      <c r="B39" s="12" t="s">
        <v>219</v>
      </c>
      <c r="C39" s="13" t="s">
        <v>216</v>
      </c>
      <c r="D39" s="14">
        <v>42458</v>
      </c>
      <c r="E39" s="14">
        <v>42462</v>
      </c>
      <c r="F39" s="15">
        <f>D39-E39</f>
        <v>-4</v>
      </c>
    </row>
    <row r="40" spans="2:6" outlineLevel="2" x14ac:dyDescent="0.25">
      <c r="B40" s="12" t="s">
        <v>208</v>
      </c>
      <c r="C40" s="13" t="s">
        <v>216</v>
      </c>
      <c r="D40" s="14">
        <v>42453</v>
      </c>
      <c r="E40" s="14">
        <v>42452</v>
      </c>
      <c r="F40" s="15">
        <f>D40-E40</f>
        <v>1</v>
      </c>
    </row>
    <row r="41" spans="2:6" outlineLevel="2" x14ac:dyDescent="0.25">
      <c r="B41" s="12" t="s">
        <v>220</v>
      </c>
      <c r="C41" s="13" t="s">
        <v>216</v>
      </c>
      <c r="D41" s="14">
        <v>42452</v>
      </c>
      <c r="E41" s="14">
        <v>42449</v>
      </c>
      <c r="F41" s="15">
        <f>D41-E41</f>
        <v>3</v>
      </c>
    </row>
    <row r="42" spans="2:6" outlineLevel="1" x14ac:dyDescent="0.25">
      <c r="B42" s="12"/>
      <c r="C42" s="60" t="s">
        <v>267</v>
      </c>
      <c r="D42" s="14">
        <f>SUBTOTAL(1,D39:D41)</f>
        <v>42454.333333333336</v>
      </c>
      <c r="E42" s="14">
        <f>SUBTOTAL(1,E39:E41)</f>
        <v>42454.333333333336</v>
      </c>
      <c r="F42" s="15">
        <f>SUBTOTAL(1,F39:F41)</f>
        <v>0</v>
      </c>
    </row>
    <row r="43" spans="2:6" outlineLevel="2" x14ac:dyDescent="0.25">
      <c r="B43" s="12" t="s">
        <v>219</v>
      </c>
      <c r="C43" s="13" t="s">
        <v>217</v>
      </c>
      <c r="D43" s="14">
        <v>42469</v>
      </c>
      <c r="E43" s="14">
        <v>42473</v>
      </c>
      <c r="F43" s="15">
        <f>D43-E43</f>
        <v>-4</v>
      </c>
    </row>
    <row r="44" spans="2:6" outlineLevel="2" x14ac:dyDescent="0.25">
      <c r="B44" s="12" t="s">
        <v>220</v>
      </c>
      <c r="C44" s="13" t="s">
        <v>217</v>
      </c>
      <c r="D44" s="14">
        <v>42464</v>
      </c>
      <c r="E44" s="14">
        <v>42464</v>
      </c>
      <c r="F44" s="15">
        <f>D44-E44</f>
        <v>0</v>
      </c>
    </row>
    <row r="45" spans="2:6" outlineLevel="2" x14ac:dyDescent="0.25">
      <c r="B45" s="12" t="s">
        <v>208</v>
      </c>
      <c r="C45" s="13" t="s">
        <v>217</v>
      </c>
      <c r="D45" s="14">
        <v>42462</v>
      </c>
      <c r="E45" s="14">
        <v>42462</v>
      </c>
      <c r="F45" s="15">
        <f>D45-E45</f>
        <v>0</v>
      </c>
    </row>
    <row r="46" spans="2:6" outlineLevel="1" x14ac:dyDescent="0.25">
      <c r="B46" s="12"/>
      <c r="C46" s="60" t="s">
        <v>268</v>
      </c>
      <c r="D46" s="14">
        <f>SUBTOTAL(1,D43:D45)</f>
        <v>42465</v>
      </c>
      <c r="E46" s="14">
        <f>SUBTOTAL(1,E43:E45)</f>
        <v>42466.333333333336</v>
      </c>
      <c r="F46" s="15">
        <f>SUBTOTAL(1,F43:F45)</f>
        <v>-1.3333333333333333</v>
      </c>
    </row>
    <row r="47" spans="2:6" outlineLevel="2" x14ac:dyDescent="0.25">
      <c r="B47" s="12" t="s">
        <v>219</v>
      </c>
      <c r="C47" s="13" t="s">
        <v>218</v>
      </c>
      <c r="D47" s="14">
        <v>42460</v>
      </c>
      <c r="E47" s="14">
        <v>42465</v>
      </c>
      <c r="F47" s="15">
        <f>D47-E47</f>
        <v>-5</v>
      </c>
    </row>
    <row r="48" spans="2:6" outlineLevel="2" x14ac:dyDescent="0.25">
      <c r="B48" s="12" t="s">
        <v>220</v>
      </c>
      <c r="C48" s="13" t="s">
        <v>218</v>
      </c>
      <c r="D48" s="14">
        <v>42457</v>
      </c>
      <c r="E48" s="14">
        <v>42459</v>
      </c>
      <c r="F48" s="15">
        <f>D48-E48</f>
        <v>-2</v>
      </c>
    </row>
    <row r="49" spans="2:6" outlineLevel="2" x14ac:dyDescent="0.25">
      <c r="B49" s="12" t="s">
        <v>208</v>
      </c>
      <c r="C49" s="13" t="s">
        <v>218</v>
      </c>
      <c r="D49" s="14">
        <v>42452</v>
      </c>
      <c r="E49" s="14">
        <v>42455</v>
      </c>
      <c r="F49" s="15">
        <f>D49-E49</f>
        <v>-3</v>
      </c>
    </row>
    <row r="50" spans="2:6" outlineLevel="1" x14ac:dyDescent="0.25">
      <c r="B50" s="61"/>
      <c r="C50" s="64" t="s">
        <v>269</v>
      </c>
      <c r="D50" s="62">
        <f>SUBTOTAL(1,D47:D49)</f>
        <v>42456.333333333336</v>
      </c>
      <c r="E50" s="62">
        <f>SUBTOTAL(1,E47:E49)</f>
        <v>42459.666666666664</v>
      </c>
      <c r="F50" s="63">
        <f>SUBTOTAL(1,F47:F49)</f>
        <v>-3.3333333333333335</v>
      </c>
    </row>
    <row r="51" spans="2:6" x14ac:dyDescent="0.25">
      <c r="B51" s="61"/>
      <c r="C51" s="64" t="s">
        <v>270</v>
      </c>
      <c r="D51" s="62">
        <f>SUBTOTAL(1,D7:D49)</f>
        <v>42455.515151515152</v>
      </c>
      <c r="E51" s="62">
        <f>SUBTOTAL(1,E7:E49)</f>
        <v>42457.545454545456</v>
      </c>
      <c r="F51" s="63">
        <f>SUBTOTAL(1,F7:F49)</f>
        <v>-2.0303030303030303</v>
      </c>
    </row>
  </sheetData>
  <sortState ref="B7:F39">
    <sortCondition ref="C7:C39"/>
    <sortCondition descending="1" ref="D7:D39"/>
  </sortState>
  <dataConsolidate function="average" topLabels="1">
    <dataRefs count="3">
      <dataRef ref="B3:D18" sheet="차트작업2" r:id="rId1"/>
      <dataRef ref="F3:H18" sheet="차트작업2" r:id="rId2"/>
      <dataRef ref="J3:L18" sheet="차트작업2" r:id="rId3"/>
    </dataRefs>
  </dataConsolidate>
  <phoneticPr fontId="7" type="noConversion"/>
  <pageMargins left="0.7" right="0.7" top="0.75" bottom="0.75" header="0.3" footer="0.3"/>
  <pageSetup paperSize="9"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7" name="Button 1">
              <controlPr defaultSize="0" print="0" autoFill="0" autoPict="0" macro="[0]!지역부분합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2:J9"/>
  <sheetViews>
    <sheetView zoomScaleNormal="100" workbookViewId="0"/>
  </sheetViews>
  <sheetFormatPr defaultRowHeight="16.5" x14ac:dyDescent="0.3"/>
  <sheetData>
    <row r="2" spans="2:10" ht="26.25" x14ac:dyDescent="0.3">
      <c r="B2" s="18" t="s">
        <v>221</v>
      </c>
      <c r="C2" s="19"/>
      <c r="D2" s="19"/>
      <c r="E2" s="19"/>
      <c r="F2" s="19"/>
      <c r="G2" s="19"/>
      <c r="H2" s="19"/>
      <c r="I2" s="19"/>
      <c r="J2" s="19"/>
    </row>
    <row r="3" spans="2:10" ht="17.25" x14ac:dyDescent="0.3">
      <c r="B3" s="20"/>
      <c r="C3" s="21">
        <v>2006</v>
      </c>
      <c r="D3" s="21">
        <v>2007</v>
      </c>
      <c r="E3" s="21">
        <v>2008</v>
      </c>
      <c r="F3" s="21">
        <v>2009</v>
      </c>
      <c r="G3" s="21">
        <v>2010</v>
      </c>
      <c r="H3" s="21">
        <v>2011</v>
      </c>
      <c r="I3" s="21">
        <v>2012</v>
      </c>
      <c r="J3" s="21">
        <v>2013</v>
      </c>
    </row>
    <row r="4" spans="2:10" ht="17.25" x14ac:dyDescent="0.3">
      <c r="B4" s="22" t="s">
        <v>214</v>
      </c>
      <c r="C4" s="23">
        <v>4.7</v>
      </c>
      <c r="D4" s="23">
        <v>4.8</v>
      </c>
      <c r="E4" s="23">
        <v>4.8</v>
      </c>
      <c r="F4" s="23">
        <v>4.7</v>
      </c>
      <c r="G4" s="23">
        <v>4.5999999999999996</v>
      </c>
      <c r="H4" s="23">
        <v>4.5999999999999996</v>
      </c>
      <c r="I4" s="23">
        <v>4.7</v>
      </c>
      <c r="J4" s="23">
        <v>4.4000000000000004</v>
      </c>
    </row>
    <row r="5" spans="2:10" ht="17.25" x14ac:dyDescent="0.3">
      <c r="B5" s="22" t="s">
        <v>212</v>
      </c>
      <c r="C5" s="23">
        <v>5.7</v>
      </c>
      <c r="D5" s="23">
        <v>5.5</v>
      </c>
      <c r="E5" s="23">
        <v>5.0999999999999996</v>
      </c>
      <c r="F5" s="23">
        <v>4.7</v>
      </c>
      <c r="G5" s="23">
        <v>4.4000000000000004</v>
      </c>
      <c r="H5" s="23">
        <v>4.9000000000000004</v>
      </c>
      <c r="I5" s="23">
        <v>5</v>
      </c>
      <c r="J5" s="23">
        <v>4.9000000000000004</v>
      </c>
    </row>
    <row r="6" spans="2:10" ht="17.25" x14ac:dyDescent="0.3">
      <c r="B6" s="22" t="s">
        <v>210</v>
      </c>
      <c r="C6" s="23">
        <v>5.5</v>
      </c>
      <c r="D6" s="23">
        <v>5.6</v>
      </c>
      <c r="E6" s="23">
        <v>4.9000000000000004</v>
      </c>
      <c r="F6" s="23">
        <v>5</v>
      </c>
      <c r="G6" s="23">
        <v>4.5999999999999996</v>
      </c>
      <c r="H6" s="23">
        <v>4.7</v>
      </c>
      <c r="I6" s="23">
        <v>5</v>
      </c>
      <c r="J6" s="23">
        <v>5</v>
      </c>
    </row>
    <row r="7" spans="2:10" ht="17.25" x14ac:dyDescent="0.3">
      <c r="B7" s="22" t="s">
        <v>217</v>
      </c>
      <c r="C7" s="23">
        <v>5.4</v>
      </c>
      <c r="D7" s="23">
        <v>4.8</v>
      </c>
      <c r="E7" s="23">
        <v>4.8</v>
      </c>
      <c r="F7" s="23">
        <v>4.7</v>
      </c>
      <c r="G7" s="23">
        <v>4.5999999999999996</v>
      </c>
      <c r="H7" s="23">
        <v>4.7</v>
      </c>
      <c r="I7" s="23">
        <v>4.5</v>
      </c>
      <c r="J7" s="23">
        <v>4.4000000000000004</v>
      </c>
    </row>
    <row r="8" spans="2:10" ht="17.25" x14ac:dyDescent="0.3">
      <c r="B8" s="22" t="s">
        <v>209</v>
      </c>
      <c r="C8" s="23">
        <v>5.2</v>
      </c>
      <c r="D8" s="23">
        <v>4.9000000000000004</v>
      </c>
      <c r="E8" s="23">
        <v>4.7</v>
      </c>
      <c r="F8" s="23">
        <v>4.9000000000000004</v>
      </c>
      <c r="G8" s="23">
        <v>5</v>
      </c>
      <c r="H8" s="23">
        <v>5.2</v>
      </c>
      <c r="I8" s="23">
        <v>5.2</v>
      </c>
      <c r="J8" s="23">
        <v>5.2</v>
      </c>
    </row>
    <row r="9" spans="2:10" ht="17.25" x14ac:dyDescent="0.3">
      <c r="B9" s="22" t="s">
        <v>211</v>
      </c>
      <c r="C9" s="23">
        <v>4.7</v>
      </c>
      <c r="D9" s="23">
        <v>4.7</v>
      </c>
      <c r="E9" s="23">
        <v>4.5</v>
      </c>
      <c r="F9" s="23">
        <v>4.5999999999999996</v>
      </c>
      <c r="G9" s="23">
        <v>4.3</v>
      </c>
      <c r="H9" s="23">
        <v>4.9000000000000004</v>
      </c>
      <c r="I9" s="23">
        <v>4.7</v>
      </c>
      <c r="J9" s="23">
        <v>4.8</v>
      </c>
    </row>
  </sheetData>
  <phoneticPr fontId="7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4:P17"/>
  <sheetViews>
    <sheetView zoomScaleNormal="100" workbookViewId="0"/>
  </sheetViews>
  <sheetFormatPr defaultRowHeight="16.5" x14ac:dyDescent="0.3"/>
  <cols>
    <col min="2" max="3" width="9" style="8"/>
    <col min="4" max="8" width="9" style="24"/>
    <col min="9" max="9" width="10.5" style="25" bestFit="1" customWidth="1"/>
    <col min="10" max="10" width="10.5" customWidth="1"/>
  </cols>
  <sheetData>
    <row r="4" spans="2:16" ht="17.25" thickBot="1" x14ac:dyDescent="0.35">
      <c r="B4" s="8" t="s">
        <v>222</v>
      </c>
      <c r="O4" t="s">
        <v>223</v>
      </c>
    </row>
    <row r="5" spans="2:16" ht="17.25" thickBot="1" x14ac:dyDescent="0.35">
      <c r="B5" s="26" t="s">
        <v>224</v>
      </c>
      <c r="C5" s="27" t="s">
        <v>225</v>
      </c>
      <c r="D5" s="28" t="s">
        <v>226</v>
      </c>
      <c r="E5" s="28" t="s">
        <v>227</v>
      </c>
      <c r="F5" s="28" t="s">
        <v>228</v>
      </c>
      <c r="G5" s="28" t="s">
        <v>229</v>
      </c>
      <c r="H5" s="28" t="s">
        <v>230</v>
      </c>
      <c r="I5" s="29" t="s">
        <v>231</v>
      </c>
      <c r="O5" s="26" t="s">
        <v>224</v>
      </c>
      <c r="P5" s="27" t="s">
        <v>225</v>
      </c>
    </row>
    <row r="6" spans="2:16" x14ac:dyDescent="0.3">
      <c r="B6" s="8">
        <v>1628002</v>
      </c>
      <c r="C6" s="8" t="s">
        <v>232</v>
      </c>
      <c r="D6" s="24">
        <v>0</v>
      </c>
      <c r="E6" s="24">
        <v>0</v>
      </c>
      <c r="F6" s="24">
        <v>20</v>
      </c>
      <c r="G6" s="24">
        <v>20</v>
      </c>
      <c r="H6" s="24">
        <v>60</v>
      </c>
      <c r="O6" s="30">
        <v>1628002</v>
      </c>
      <c r="P6" s="31" t="s">
        <v>232</v>
      </c>
    </row>
    <row r="7" spans="2:16" x14ac:dyDescent="0.3">
      <c r="B7" s="8">
        <v>1628011</v>
      </c>
      <c r="C7" s="8" t="s">
        <v>233</v>
      </c>
      <c r="D7" s="24">
        <v>4</v>
      </c>
      <c r="E7" s="24">
        <v>1</v>
      </c>
      <c r="F7" s="24">
        <v>11</v>
      </c>
      <c r="G7" s="24">
        <v>15</v>
      </c>
      <c r="H7" s="24">
        <v>40</v>
      </c>
      <c r="I7" s="25" t="s">
        <v>234</v>
      </c>
      <c r="O7" s="30">
        <v>1628011</v>
      </c>
      <c r="P7" s="31" t="s">
        <v>233</v>
      </c>
    </row>
    <row r="8" spans="2:16" x14ac:dyDescent="0.3">
      <c r="O8" s="30">
        <v>1628015</v>
      </c>
      <c r="P8" s="31" t="s">
        <v>235</v>
      </c>
    </row>
    <row r="9" spans="2:16" x14ac:dyDescent="0.3">
      <c r="O9" s="30">
        <v>1628019</v>
      </c>
      <c r="P9" s="31" t="s">
        <v>236</v>
      </c>
    </row>
    <row r="10" spans="2:16" x14ac:dyDescent="0.3">
      <c r="O10" s="30">
        <v>1628020</v>
      </c>
      <c r="P10" s="31" t="s">
        <v>237</v>
      </c>
    </row>
    <row r="11" spans="2:16" x14ac:dyDescent="0.3">
      <c r="O11" s="30">
        <v>1628025</v>
      </c>
      <c r="P11" s="31" t="s">
        <v>238</v>
      </c>
    </row>
    <row r="12" spans="2:16" x14ac:dyDescent="0.3">
      <c r="O12" s="30">
        <v>1628046</v>
      </c>
      <c r="P12" s="31" t="s">
        <v>239</v>
      </c>
    </row>
    <row r="13" spans="2:16" x14ac:dyDescent="0.3">
      <c r="O13" s="30">
        <v>1628048</v>
      </c>
      <c r="P13" s="31" t="s">
        <v>240</v>
      </c>
    </row>
    <row r="14" spans="2:16" x14ac:dyDescent="0.3">
      <c r="O14" s="30">
        <v>1628060</v>
      </c>
      <c r="P14" s="31" t="s">
        <v>241</v>
      </c>
    </row>
    <row r="15" spans="2:16" x14ac:dyDescent="0.3">
      <c r="O15" s="30">
        <v>1628062</v>
      </c>
      <c r="P15" s="31" t="s">
        <v>242</v>
      </c>
    </row>
    <row r="16" spans="2:16" x14ac:dyDescent="0.3">
      <c r="O16" s="30">
        <v>1628074</v>
      </c>
      <c r="P16" s="31" t="s">
        <v>243</v>
      </c>
    </row>
    <row r="17" spans="15:16" x14ac:dyDescent="0.3">
      <c r="O17" s="30">
        <v>1628077</v>
      </c>
      <c r="P17" s="31" t="s">
        <v>244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등록">
          <controlPr defaultSize="0" autoLine="0" r:id="rId5">
            <anchor moveWithCells="1">
              <from>
                <xdr:col>2</xdr:col>
                <xdr:colOff>9525</xdr:colOff>
                <xdr:row>1</xdr:row>
                <xdr:rowOff>19050</xdr:rowOff>
              </from>
              <to>
                <xdr:col>5</xdr:col>
                <xdr:colOff>9525</xdr:colOff>
                <xdr:row>3</xdr:row>
                <xdr:rowOff>19050</xdr:rowOff>
              </to>
            </anchor>
          </controlPr>
        </control>
      </mc:Choice>
      <mc:Fallback>
        <control shapeId="2049" r:id="rId4" name="cmd등록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2</vt:i4>
      </vt:variant>
    </vt:vector>
  </HeadingPairs>
  <TitlesOfParts>
    <vt:vector size="9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'기본작업-2'!Criteria</vt:lpstr>
      <vt:lpstr>'기본작업-2'!Extract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김우경</dc:creator>
  <cp:lastModifiedBy>김우경</cp:lastModifiedBy>
  <dcterms:created xsi:type="dcterms:W3CDTF">2017-08-28T14:31:19Z</dcterms:created>
  <dcterms:modified xsi:type="dcterms:W3CDTF">2017-09-12T05:52:29Z</dcterms:modified>
</cp:coreProperties>
</file>