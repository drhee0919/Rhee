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0429A880-D54F-4D6D-AC99-526094EB28FE}" xr6:coauthVersionLast="47" xr6:coauthVersionMax="47" xr10:uidLastSave="{00000000-0000-0000-0000-000000000000}"/>
  <bookViews>
    <workbookView xWindow="-120" yWindow="-120" windowWidth="20730" windowHeight="11160" tabRatio="957" activeTab="1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functionGroups builtInGroupCount="19"/>
  <calcPr calcId="191029"/>
</workbook>
</file>

<file path=xl/calcChain.xml><?xml version="1.0" encoding="utf-8"?>
<calcChain xmlns="http://schemas.openxmlformats.org/spreadsheetml/2006/main">
  <c r="B33" i="2" l="1" a="1"/>
  <c r="B33" i="2" s="1"/>
  <c r="B34" i="2" a="1"/>
  <c r="B34" i="2"/>
  <c r="B35" i="2" a="1"/>
  <c r="B35" i="2" s="1"/>
  <c r="B32" i="2" a="1"/>
  <c r="B32" i="2" s="1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B47" i="1"/>
  <c r="E40" i="1"/>
  <c r="E41" i="1"/>
  <c r="E42" i="1"/>
  <c r="E43" i="1"/>
  <c r="E44" i="1"/>
  <c r="E45" i="1"/>
  <c r="E46" i="1"/>
  <c r="E39" i="1"/>
  <c r="B40" i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F41" i="1"/>
  <c r="F43" i="1"/>
  <c r="F46" i="1"/>
  <c r="F45" i="1"/>
  <c r="F39" i="1"/>
  <c r="F42" i="1"/>
  <c r="F40" i="1"/>
  <c r="F44" i="1"/>
  <c r="G22" i="2"/>
  <c r="G26" i="2"/>
  <c r="G29" i="2"/>
  <c r="G23" i="2"/>
  <c r="G27" i="2"/>
  <c r="G24" i="2"/>
  <c r="G28" i="2"/>
  <c r="G25" i="2"/>
  <c r="G21" i="2"/>
  <c r="H14" i="2" l="1" a="1"/>
  <c r="H14" i="2" s="1"/>
  <c r="D27" i="4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H18" i="2" l="1"/>
  <c r="H15" i="2"/>
  <c r="H16" i="2"/>
  <c r="H17" i="2"/>
  <c r="M4" i="36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<sst xmlns="http://schemas.openxmlformats.org/spreadsheetml/2006/main" count="1973" uniqueCount="1061">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</sst>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opLeftCell="A21" workbookViewId="0">
      <selection activeCell="G3" sqref="G3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>UPPER(SUBSTITUTE(A39,0,9))</f>
        <v>Y291K</v>
      </c>
      <c r="C39" s="2" t="s">
        <v>434</v>
      </c>
      <c r="D39" s="12">
        <v>45</v>
      </c>
      <c r="E39" s="13">
        <f>D39 * VLOOKUP( RIGHT(A39,1), $H$42:$J$46, 2, FALSE) - D39 * VLOOKUP(RIGHT(A39,1), $H$42:$J$46, 2, FALSE) * VLOOKUP(RIGHT(A39,1), $H$42:$J$46, 3, FALSE)</f>
        <v>128250</v>
      </c>
      <c r="F39" s="12">
        <f>fn이익금(E39,C39,D39)</f>
        <v>38475</v>
      </c>
    </row>
    <row r="40" spans="1:10">
      <c r="A40" s="2" t="s">
        <v>4</v>
      </c>
      <c r="B40" s="2" t="str">
        <f t="shared" ref="B40:B47" si="1">UPPER(SUBSTITUTE(A40,0,9))</f>
        <v>B459N</v>
      </c>
      <c r="C40" s="2" t="s">
        <v>435</v>
      </c>
      <c r="D40" s="12">
        <v>89</v>
      </c>
      <c r="E40" s="13">
        <f t="shared" ref="E40:E46" si="2">D40 * VLOOKUP( RIGHT(A40,1), $H$42:$J$46, 2, FALSE) - D40 * VLOOKUP(RIGHT(A40,1), $H$42:$J$46, 2, FALSE) * VLOOKUP(RIGHT(A40,1), $H$42:$J$46, 3, FALSE)</f>
        <v>372465</v>
      </c>
      <c r="F40" s="12">
        <f t="shared" ref="F40:F46" si="3">fn이익금(E40,C40,D40)</f>
        <v>111739.50000000003</v>
      </c>
      <c r="H40" s="1" t="s">
        <v>436</v>
      </c>
    </row>
    <row r="41" spans="1:10">
      <c r="A41" s="2" t="s">
        <v>5</v>
      </c>
      <c r="B41" s="2" t="str">
        <f t="shared" si="1"/>
        <v>Y293D</v>
      </c>
      <c r="C41" s="2" t="s">
        <v>437</v>
      </c>
      <c r="D41" s="12">
        <v>230</v>
      </c>
      <c r="E41" s="13">
        <f t="shared" si="2"/>
        <v>338100</v>
      </c>
      <c r="F41" s="12">
        <f t="shared" si="3"/>
        <v>169050</v>
      </c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1"/>
        <v>Y912G</v>
      </c>
      <c r="C42" s="2" t="s">
        <v>441</v>
      </c>
      <c r="D42" s="12">
        <v>30</v>
      </c>
      <c r="E42" s="13">
        <f t="shared" si="2"/>
        <v>151200</v>
      </c>
      <c r="F42" s="12">
        <f t="shared" si="3"/>
        <v>45360</v>
      </c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1"/>
        <v>Y395K</v>
      </c>
      <c r="C43" s="2" t="s">
        <v>434</v>
      </c>
      <c r="D43" s="12">
        <v>120</v>
      </c>
      <c r="E43" s="13">
        <f t="shared" si="2"/>
        <v>342000</v>
      </c>
      <c r="F43" s="12">
        <f t="shared" si="3"/>
        <v>102600.00000000003</v>
      </c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1"/>
        <v>Y365Y</v>
      </c>
      <c r="C44" s="2" t="s">
        <v>444</v>
      </c>
      <c r="D44" s="12">
        <v>120</v>
      </c>
      <c r="E44" s="13">
        <f t="shared" si="2"/>
        <v>360960</v>
      </c>
      <c r="F44" s="12">
        <f t="shared" si="3"/>
        <v>180480</v>
      </c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1"/>
        <v>B394N</v>
      </c>
      <c r="C45" s="2" t="s">
        <v>435</v>
      </c>
      <c r="D45" s="12">
        <v>325</v>
      </c>
      <c r="E45" s="13">
        <f t="shared" si="2"/>
        <v>1360125</v>
      </c>
      <c r="F45" s="12">
        <f t="shared" si="3"/>
        <v>408037.50000000012</v>
      </c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1"/>
        <v>B123D</v>
      </c>
      <c r="C46" s="2" t="s">
        <v>437</v>
      </c>
      <c r="D46" s="12">
        <v>60</v>
      </c>
      <c r="E46" s="13">
        <f t="shared" si="2"/>
        <v>88200</v>
      </c>
      <c r="F46" s="12">
        <f t="shared" si="3"/>
        <v>26460.000000000007</v>
      </c>
      <c r="H46" s="5" t="s">
        <v>447</v>
      </c>
      <c r="I46" s="6">
        <v>3200</v>
      </c>
      <c r="J46" s="15">
        <v>0.06</v>
      </c>
    </row>
    <row r="47" spans="1:10">
      <c r="B47" s="1" t="str">
        <f t="shared" si="1"/>
        <v/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tabSelected="1" topLeftCell="B19" workbookViewId="0">
      <selection activeCell="I26" sqref="I26"/>
    </sheetView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8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>
        <f ca="1">SUMPRODUCT(C3:E3, OFFSET($A$13,MATCH(B3,$A$14:$A$16,0),1,1,3))</f>
        <v>96.2</v>
      </c>
      <c r="G3" s="10" t="str">
        <f ca="1">LOOKUP(F3,$F$14:$F$18,$G$14:$G$18)</f>
        <v>A</v>
      </c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>
        <f t="shared" ref="F4:F10" ca="1" si="0">SUMPRODUCT(C4:E4, OFFSET($A$13,MATCH(B4,$A$14:$A$16,0),1,1,3))</f>
        <v>81.900000000000006</v>
      </c>
      <c r="G4" s="10" t="str">
        <f t="shared" ref="G4:G10" ca="1" si="1">LOOKUP(F4,$F$14:$F$18,$G$14:$G$18)</f>
        <v>B</v>
      </c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>
        <f t="shared" ca="1" si="0"/>
        <v>92.9</v>
      </c>
      <c r="G5" s="10" t="str">
        <f t="shared" ca="1" si="1"/>
        <v>A</v>
      </c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>
        <f t="shared" ca="1" si="0"/>
        <v>78.5</v>
      </c>
      <c r="G6" s="10" t="str">
        <f t="shared" ca="1" si="1"/>
        <v>C</v>
      </c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>
        <f t="shared" ca="1" si="0"/>
        <v>80.2</v>
      </c>
      <c r="G7" s="10" t="str">
        <f t="shared" ca="1" si="1"/>
        <v>B</v>
      </c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>
        <f t="shared" ca="1" si="0"/>
        <v>79.099999999999994</v>
      </c>
      <c r="G8" s="10" t="str">
        <f t="shared" ca="1" si="1"/>
        <v>C</v>
      </c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>
        <f t="shared" ca="1" si="0"/>
        <v>90.3</v>
      </c>
      <c r="G9" s="10" t="str">
        <f t="shared" ca="1" si="1"/>
        <v>A</v>
      </c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>
        <f t="shared" ca="1" si="0"/>
        <v>78.2</v>
      </c>
      <c r="G10" s="10" t="str">
        <f t="shared" ca="1" si="1"/>
        <v>C</v>
      </c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 t="str">
        <f t="array" aca="1" ref="H14:H18" ca="1">TEXT(FREQUENCY(F3:F10, F14:F18), "0개")</f>
        <v>0개</v>
      </c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 t="str">
        <f ca="1"/>
        <v>0개</v>
      </c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 t="str">
        <f ca="1"/>
        <v>3개</v>
      </c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 t="str">
        <f ca="1"/>
        <v>2개</v>
      </c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 t="str">
        <f ca="1"/>
        <v>3개</v>
      </c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>
        <f>총판매액(D21,F21)</f>
        <v>64000</v>
      </c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>
        <f t="shared" ref="G22:G29" si="2">총판매액(D22,F22)</f>
        <v>201600</v>
      </c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>
        <f t="shared" si="2"/>
        <v>118000</v>
      </c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>
        <f t="shared" si="2"/>
        <v>137000</v>
      </c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>
        <f t="shared" si="2"/>
        <v>156000</v>
      </c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>
        <f t="shared" si="2"/>
        <v>184500</v>
      </c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>
        <f t="shared" si="2"/>
        <v>168000</v>
      </c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>
        <f t="shared" si="2"/>
        <v>165000</v>
      </c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>
        <f t="shared" si="2"/>
        <v>162000</v>
      </c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>
        <f t="array" ref="B32">MIN(MAX(($A$21:$A$29=A32)*($D$21:$D$29)), MAX(($A$21:$A$29=A32)*($F$21:$F$29)))</f>
        <v>84000</v>
      </c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>
        <f t="array" ref="B33">MIN(MAX(($A$21:$A$29=A33)*($D$21:$D$29)), MAX(($A$21:$A$29=A33)*($F$21:$F$29)))</f>
        <v>61200</v>
      </c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>
        <f t="array" ref="B34">MIN(MAX(($A$21:$A$29=A34)*($D$21:$D$29)), MAX(($A$21:$A$29=A34)*($F$21:$F$29)))</f>
        <v>80000</v>
      </c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>
        <f t="array" ref="B35">MIN(MAX(($A$21:$A$29=A35)*($D$21:$D$29)), MAX(($A$21:$A$29=A35)*($F$21:$F$29)))</f>
        <v>84000</v>
      </c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2021-09-12T15:00:35Z</dcterms:modified>
</cp:coreProperties>
</file>