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60" yWindow="135" windowWidth="28035" windowHeight="13005"/>
  </bookViews>
  <sheets>
    <sheet name="기본작업-1" sheetId="1" r:id="rId1"/>
    <sheet name="기본작업-2" sheetId="2" r:id="rId2"/>
    <sheet name="계산작업" sheetId="8" r:id="rId3"/>
    <sheet name="분석작업-1" sheetId="4" r:id="rId4"/>
    <sheet name="분석작업-2" sheetId="5" r:id="rId5"/>
    <sheet name="기타작업-1" sheetId="6" r:id="rId6"/>
    <sheet name="기타작업-2" sheetId="7" r:id="rId7"/>
  </sheets>
  <functionGroups builtInGroupCount="17"/>
  <definedNames>
    <definedName name="_xlnm._FilterDatabase" localSheetId="1" hidden="1">'기본작업-2'!$A$2:$J$33</definedName>
    <definedName name="_xlnm.Criteria" localSheetId="1">'기본작업-2'!#REF!</definedName>
    <definedName name="_xlnm.Extract" localSheetId="1">'기본작업-2'!#REF!</definedName>
    <definedName name="_xlnm.Print_Area" localSheetId="1">'기본작업-2'!$A$1:$J$33</definedName>
    <definedName name="_xlnm.Print_Titles" localSheetId="1">'기본작업-2'!$2:$2</definedName>
  </definedNames>
  <calcPr calcId="145621"/>
  <pivotCaches>
    <pivotCache cacheId="11" r:id="rId8"/>
  </pivotCaches>
</workbook>
</file>

<file path=xl/calcChain.xml><?xml version="1.0" encoding="utf-8"?>
<calcChain xmlns="http://schemas.openxmlformats.org/spreadsheetml/2006/main">
  <c r="L19" i="8" l="1"/>
  <c r="M19" i="8"/>
  <c r="L20" i="8"/>
  <c r="M20" i="8"/>
  <c r="L21" i="8"/>
  <c r="M21" i="8"/>
  <c r="L22" i="8"/>
  <c r="M22" i="8"/>
  <c r="L23" i="8"/>
  <c r="M23" i="8"/>
  <c r="L24" i="8"/>
  <c r="M24" i="8"/>
  <c r="K20" i="8"/>
  <c r="K21" i="8"/>
  <c r="K22" i="8"/>
  <c r="K23" i="8"/>
  <c r="K24" i="8"/>
  <c r="K19" i="8"/>
  <c r="L13" i="8" a="1"/>
  <c r="L13" i="8"/>
  <c r="L14" i="8" a="1"/>
  <c r="L14" i="8" s="1"/>
  <c r="L15" i="8" a="1"/>
  <c r="L15" i="8"/>
  <c r="K14" i="8" a="1"/>
  <c r="K14" i="8"/>
  <c r="K15" i="8" a="1"/>
  <c r="K15" i="8" s="1"/>
  <c r="K13" i="8" a="1"/>
  <c r="K13" i="8" s="1"/>
  <c r="H5" i="8" a="1"/>
  <c r="H5" i="8"/>
  <c r="H6" i="8" a="1"/>
  <c r="H6" i="8" s="1"/>
  <c r="H7" i="8" a="1"/>
  <c r="H7" i="8"/>
  <c r="H8" i="8" a="1"/>
  <c r="H8" i="8" s="1"/>
  <c r="H9" i="8" a="1"/>
  <c r="H9" i="8"/>
  <c r="H10" i="8" a="1"/>
  <c r="H10" i="8" s="1"/>
  <c r="H11" i="8" a="1"/>
  <c r="H11" i="8"/>
  <c r="H12" i="8" a="1"/>
  <c r="H12" i="8" s="1"/>
  <c r="H13" i="8" a="1"/>
  <c r="H13" i="8"/>
  <c r="H14" i="8" a="1"/>
  <c r="H14" i="8" s="1"/>
  <c r="H15" i="8" a="1"/>
  <c r="H15" i="8"/>
  <c r="H16" i="8" a="1"/>
  <c r="H16" i="8" s="1"/>
  <c r="H17" i="8" a="1"/>
  <c r="H17" i="8"/>
  <c r="H18" i="8" a="1"/>
  <c r="H18" i="8" s="1"/>
  <c r="H19" i="8" a="1"/>
  <c r="H19" i="8"/>
  <c r="H20" i="8" a="1"/>
  <c r="H20" i="8" s="1"/>
  <c r="H21" i="8" a="1"/>
  <c r="H21" i="8"/>
  <c r="H22" i="8" a="1"/>
  <c r="H22" i="8" s="1"/>
  <c r="H23" i="8" a="1"/>
  <c r="H23" i="8" s="1"/>
  <c r="H24" i="8" a="1"/>
  <c r="H24" i="8" s="1"/>
  <c r="H25" i="8" a="1"/>
  <c r="H25" i="8" s="1"/>
  <c r="H26" i="8" a="1"/>
  <c r="H26" i="8" s="1"/>
  <c r="H27" i="8" a="1"/>
  <c r="H27" i="8" s="1"/>
  <c r="H4" i="8" a="1"/>
  <c r="H4" i="8" s="1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4" i="8"/>
  <c r="A36" i="2"/>
  <c r="F5" i="8"/>
  <c r="F9" i="8"/>
  <c r="F13" i="8"/>
  <c r="F17" i="8"/>
  <c r="F21" i="8"/>
  <c r="F25" i="8"/>
  <c r="F6" i="8"/>
  <c r="F10" i="8"/>
  <c r="F14" i="8"/>
  <c r="F18" i="8"/>
  <c r="F22" i="8"/>
  <c r="F26" i="8"/>
  <c r="F7" i="8"/>
  <c r="F11" i="8"/>
  <c r="F15" i="8"/>
  <c r="F19" i="8"/>
  <c r="F23" i="8"/>
  <c r="F27" i="8"/>
  <c r="F8" i="8"/>
  <c r="F12" i="8"/>
  <c r="F16" i="8"/>
  <c r="F20" i="8"/>
  <c r="F24" i="8"/>
  <c r="F4" i="8"/>
</calcChain>
</file>

<file path=xl/sharedStrings.xml><?xml version="1.0" encoding="utf-8"?>
<sst xmlns="http://schemas.openxmlformats.org/spreadsheetml/2006/main" count="665" uniqueCount="173">
  <si>
    <t>[표1]</t>
    <phoneticPr fontId="1" type="noConversion"/>
  </si>
  <si>
    <t>접수번호</t>
    <phoneticPr fontId="1" type="noConversion"/>
  </si>
  <si>
    <t>대회종목</t>
    <phoneticPr fontId="1" type="noConversion"/>
  </si>
  <si>
    <t>성명</t>
    <phoneticPr fontId="1" type="noConversion"/>
  </si>
  <si>
    <t>성별</t>
    <phoneticPr fontId="1" type="noConversion"/>
  </si>
  <si>
    <t>소속</t>
    <phoneticPr fontId="1" type="noConversion"/>
  </si>
  <si>
    <t>그리기-미술</t>
    <phoneticPr fontId="1" type="noConversion"/>
  </si>
  <si>
    <t>글짓기-국어</t>
    <phoneticPr fontId="1" type="noConversion"/>
  </si>
  <si>
    <t>독창-음악</t>
    <phoneticPr fontId="1" type="noConversion"/>
  </si>
  <si>
    <t>S</t>
    <phoneticPr fontId="1" type="noConversion"/>
  </si>
  <si>
    <t>P</t>
    <phoneticPr fontId="1" type="noConversion"/>
  </si>
  <si>
    <t>중창-음악</t>
    <phoneticPr fontId="1" type="noConversion"/>
  </si>
  <si>
    <t>합창-음악</t>
    <phoneticPr fontId="1" type="noConversion"/>
  </si>
  <si>
    <t>C</t>
    <phoneticPr fontId="1" type="noConversion"/>
  </si>
  <si>
    <t>D</t>
    <phoneticPr fontId="1" type="noConversion"/>
  </si>
  <si>
    <t>W</t>
    <phoneticPr fontId="1" type="noConversion"/>
  </si>
  <si>
    <t>구연동화-국어</t>
    <phoneticPr fontId="1" type="noConversion"/>
  </si>
  <si>
    <t>F</t>
    <phoneticPr fontId="1" type="noConversion"/>
  </si>
  <si>
    <t>종목코드</t>
    <phoneticPr fontId="1" type="noConversion"/>
  </si>
  <si>
    <t>국어</t>
    <phoneticPr fontId="1" type="noConversion"/>
  </si>
  <si>
    <t>음악</t>
    <phoneticPr fontId="1" type="noConversion"/>
  </si>
  <si>
    <t>미술</t>
    <phoneticPr fontId="1" type="noConversion"/>
  </si>
  <si>
    <t>남</t>
    <phoneticPr fontId="1" type="noConversion"/>
  </si>
  <si>
    <t>분류</t>
    <phoneticPr fontId="1" type="noConversion"/>
  </si>
  <si>
    <t>여</t>
    <phoneticPr fontId="1" type="noConversion"/>
  </si>
  <si>
    <t>대회종목</t>
    <phoneticPr fontId="1" type="noConversion"/>
  </si>
  <si>
    <t>성별</t>
    <phoneticPr fontId="1" type="noConversion"/>
  </si>
  <si>
    <t>성적</t>
    <phoneticPr fontId="1" type="noConversion"/>
  </si>
  <si>
    <t>성명</t>
    <phoneticPr fontId="1" type="noConversion"/>
  </si>
  <si>
    <t>이미영</t>
    <phoneticPr fontId="4" type="noConversion"/>
  </si>
  <si>
    <t>구기자</t>
    <phoneticPr fontId="4" type="noConversion"/>
  </si>
  <si>
    <t>한명구</t>
    <phoneticPr fontId="4" type="noConversion"/>
  </si>
  <si>
    <t>사오정</t>
    <phoneticPr fontId="4" type="noConversion"/>
  </si>
  <si>
    <t>오동추</t>
    <phoneticPr fontId="4" type="noConversion"/>
  </si>
  <si>
    <t>윤수아</t>
    <phoneticPr fontId="4" type="noConversion"/>
  </si>
  <si>
    <t>김기자</t>
    <phoneticPr fontId="4" type="noConversion"/>
  </si>
  <si>
    <t>윤광수</t>
    <phoneticPr fontId="4" type="noConversion"/>
  </si>
  <si>
    <t>최석훈</t>
    <phoneticPr fontId="4" type="noConversion"/>
  </si>
  <si>
    <t>김명윤</t>
    <phoneticPr fontId="4" type="noConversion"/>
  </si>
  <si>
    <t>박경미</t>
    <phoneticPr fontId="4" type="noConversion"/>
  </si>
  <si>
    <t>박은경</t>
    <phoneticPr fontId="4" type="noConversion"/>
  </si>
  <si>
    <t>박동수</t>
    <phoneticPr fontId="4" type="noConversion"/>
  </si>
  <si>
    <t>김유신</t>
    <phoneticPr fontId="4" type="noConversion"/>
  </si>
  <si>
    <t>김수정</t>
    <phoneticPr fontId="4" type="noConversion"/>
  </si>
  <si>
    <t>박정호</t>
    <phoneticPr fontId="4" type="noConversion"/>
  </si>
  <si>
    <t>최아름</t>
    <phoneticPr fontId="4" type="noConversion"/>
  </si>
  <si>
    <t>박진수</t>
    <phoneticPr fontId="4" type="noConversion"/>
  </si>
  <si>
    <t>권민수</t>
    <phoneticPr fontId="4" type="noConversion"/>
  </si>
  <si>
    <t>이강호</t>
    <phoneticPr fontId="4" type="noConversion"/>
  </si>
  <si>
    <t>박동희</t>
    <phoneticPr fontId="4" type="noConversion"/>
  </si>
  <si>
    <t>남</t>
    <phoneticPr fontId="1" type="noConversion"/>
  </si>
  <si>
    <t>여</t>
    <phoneticPr fontId="1" type="noConversion"/>
  </si>
  <si>
    <t>서영희</t>
    <phoneticPr fontId="4" type="noConversion"/>
  </si>
  <si>
    <t>이영진</t>
    <phoneticPr fontId="4" type="noConversion"/>
  </si>
  <si>
    <t>우주민</t>
    <phoneticPr fontId="4" type="noConversion"/>
  </si>
  <si>
    <t>생년월일</t>
    <phoneticPr fontId="1" type="noConversion"/>
  </si>
  <si>
    <t>전형</t>
    <phoneticPr fontId="1" type="noConversion"/>
  </si>
  <si>
    <t>가형</t>
    <phoneticPr fontId="1" type="noConversion"/>
  </si>
  <si>
    <t>나형</t>
    <phoneticPr fontId="1" type="noConversion"/>
  </si>
  <si>
    <t>계열</t>
    <phoneticPr fontId="1" type="noConversion"/>
  </si>
  <si>
    <t>자연계</t>
    <phoneticPr fontId="1" type="noConversion"/>
  </si>
  <si>
    <t>단과대학</t>
    <phoneticPr fontId="1" type="noConversion"/>
  </si>
  <si>
    <t>공과대학</t>
    <phoneticPr fontId="1" type="noConversion"/>
  </si>
  <si>
    <t>인문계</t>
    <phoneticPr fontId="1" type="noConversion"/>
  </si>
  <si>
    <t>예체능계</t>
    <phoneticPr fontId="1" type="noConversion"/>
  </si>
  <si>
    <t>건축학과</t>
    <phoneticPr fontId="1" type="noConversion"/>
  </si>
  <si>
    <t>기계공학과</t>
    <phoneticPr fontId="1" type="noConversion"/>
  </si>
  <si>
    <t>전자공학과</t>
    <phoneticPr fontId="1" type="noConversion"/>
  </si>
  <si>
    <t>컴퓨터공학과</t>
    <phoneticPr fontId="1" type="noConversion"/>
  </si>
  <si>
    <t>인문대학</t>
    <phoneticPr fontId="1" type="noConversion"/>
  </si>
  <si>
    <t>사범대학</t>
    <phoneticPr fontId="1" type="noConversion"/>
  </si>
  <si>
    <t>자연과학대학</t>
    <phoneticPr fontId="1" type="noConversion"/>
  </si>
  <si>
    <t>물리학과</t>
    <phoneticPr fontId="1" type="noConversion"/>
  </si>
  <si>
    <t>통계학과</t>
    <phoneticPr fontId="1" type="noConversion"/>
  </si>
  <si>
    <t>예술대학</t>
    <phoneticPr fontId="1" type="noConversion"/>
  </si>
  <si>
    <t>모집구분</t>
    <phoneticPr fontId="1" type="noConversion"/>
  </si>
  <si>
    <t>모집정원</t>
    <phoneticPr fontId="1" type="noConversion"/>
  </si>
  <si>
    <t>평균</t>
    <phoneticPr fontId="1" type="noConversion"/>
  </si>
  <si>
    <t>영어</t>
    <phoneticPr fontId="1" type="noConversion"/>
  </si>
  <si>
    <t>국어</t>
    <phoneticPr fontId="1" type="noConversion"/>
  </si>
  <si>
    <t>수학</t>
    <phoneticPr fontId="1" type="noConversion"/>
  </si>
  <si>
    <t>교육대학</t>
    <phoneticPr fontId="1" type="noConversion"/>
  </si>
  <si>
    <t>유아교육과</t>
    <phoneticPr fontId="1" type="noConversion"/>
  </si>
  <si>
    <t>영어교육과</t>
    <phoneticPr fontId="1" type="noConversion"/>
  </si>
  <si>
    <t>산업디자인과</t>
    <phoneticPr fontId="1" type="noConversion"/>
  </si>
  <si>
    <t>시각디자인과</t>
    <phoneticPr fontId="1" type="noConversion"/>
  </si>
  <si>
    <t>실내환경디자인과</t>
    <phoneticPr fontId="1" type="noConversion"/>
  </si>
  <si>
    <t>패션디자인과</t>
    <phoneticPr fontId="1" type="noConversion"/>
  </si>
  <si>
    <t>국사학과</t>
    <phoneticPr fontId="1" type="noConversion"/>
  </si>
  <si>
    <t>수학교육과</t>
    <phoneticPr fontId="1" type="noConversion"/>
  </si>
  <si>
    <t>재료과학부</t>
    <phoneticPr fontId="1" type="noConversion"/>
  </si>
  <si>
    <t>국어국문학과</t>
    <phoneticPr fontId="1" type="noConversion"/>
  </si>
  <si>
    <t>영어영문학과</t>
    <phoneticPr fontId="1" type="noConversion"/>
  </si>
  <si>
    <t>불어불문학과</t>
    <phoneticPr fontId="1" type="noConversion"/>
  </si>
  <si>
    <t>화학학과</t>
    <phoneticPr fontId="1" type="noConversion"/>
  </si>
  <si>
    <t>생명과학과</t>
    <phoneticPr fontId="1" type="noConversion"/>
  </si>
  <si>
    <t>사회과학대학</t>
    <phoneticPr fontId="1" type="noConversion"/>
  </si>
  <si>
    <t>정치외교학과</t>
    <phoneticPr fontId="1" type="noConversion"/>
  </si>
  <si>
    <t>경제학과</t>
    <phoneticPr fontId="1" type="noConversion"/>
  </si>
  <si>
    <t>사회학과</t>
    <phoneticPr fontId="1" type="noConversion"/>
  </si>
  <si>
    <t>심리학과</t>
    <phoneticPr fontId="1" type="noConversion"/>
  </si>
  <si>
    <t>사회복지학과</t>
    <phoneticPr fontId="1" type="noConversion"/>
  </si>
  <si>
    <t>중어중문학과</t>
    <phoneticPr fontId="1" type="noConversion"/>
  </si>
  <si>
    <t>일본학과</t>
    <phoneticPr fontId="1" type="noConversion"/>
  </si>
  <si>
    <t>자동차공학과</t>
    <phoneticPr fontId="1" type="noConversion"/>
  </si>
  <si>
    <t>기계항공공학과</t>
    <phoneticPr fontId="1" type="noConversion"/>
  </si>
  <si>
    <t>로봇공학과</t>
    <phoneticPr fontId="1" type="noConversion"/>
  </si>
  <si>
    <t>나형</t>
    <phoneticPr fontId="1" type="noConversion"/>
  </si>
  <si>
    <t>[표1] 자연계열 단과대학</t>
    <phoneticPr fontId="1" type="noConversion"/>
  </si>
  <si>
    <t>[표2] 인문계열 단과대학</t>
    <phoneticPr fontId="1" type="noConversion"/>
  </si>
  <si>
    <t>[표3] 예체능계열 단과대학</t>
    <phoneticPr fontId="1" type="noConversion"/>
  </si>
  <si>
    <t>[표4]</t>
    <phoneticPr fontId="1" type="noConversion"/>
  </si>
  <si>
    <t>경쟁률</t>
    <phoneticPr fontId="1" type="noConversion"/>
  </si>
  <si>
    <t>단과대학 입학 현황</t>
    <phoneticPr fontId="1" type="noConversion"/>
  </si>
  <si>
    <t>[표1]</t>
    <phoneticPr fontId="1" type="noConversion"/>
  </si>
  <si>
    <t>접수번호</t>
    <phoneticPr fontId="1" type="noConversion"/>
  </si>
  <si>
    <t>대회종목</t>
    <phoneticPr fontId="1" type="noConversion"/>
  </si>
  <si>
    <t>성명</t>
    <phoneticPr fontId="1" type="noConversion"/>
  </si>
  <si>
    <t>성별</t>
    <phoneticPr fontId="1" type="noConversion"/>
  </si>
  <si>
    <t>생년월일</t>
    <phoneticPr fontId="1" type="noConversion"/>
  </si>
  <si>
    <t>연락처</t>
    <phoneticPr fontId="1" type="noConversion"/>
  </si>
  <si>
    <t>소속</t>
    <phoneticPr fontId="1" type="noConversion"/>
  </si>
  <si>
    <t>그리기</t>
    <phoneticPr fontId="1" type="noConversion"/>
  </si>
  <si>
    <t>글짓기</t>
    <phoneticPr fontId="1" type="noConversion"/>
  </si>
  <si>
    <t>독창</t>
    <phoneticPr fontId="1" type="noConversion"/>
  </si>
  <si>
    <t>중창</t>
    <phoneticPr fontId="1" type="noConversion"/>
  </si>
  <si>
    <t>합창</t>
    <phoneticPr fontId="1" type="noConversion"/>
  </si>
  <si>
    <t>구연동화</t>
    <phoneticPr fontId="1" type="noConversion"/>
  </si>
  <si>
    <t>년도</t>
    <phoneticPr fontId="1" type="noConversion"/>
  </si>
  <si>
    <t>월</t>
    <phoneticPr fontId="1" type="noConversion"/>
  </si>
  <si>
    <t>일</t>
    <phoneticPr fontId="1" type="noConversion"/>
  </si>
  <si>
    <t>[표]</t>
    <phoneticPr fontId="1" type="noConversion"/>
  </si>
  <si>
    <t>[표1]</t>
    <phoneticPr fontId="1" type="noConversion"/>
  </si>
  <si>
    <t>종목별순위</t>
    <phoneticPr fontId="1" type="noConversion"/>
  </si>
  <si>
    <t>[표3] 분류와 성별별 인원수</t>
    <phoneticPr fontId="1" type="noConversion"/>
  </si>
  <si>
    <t>[표2] 종목코드표</t>
    <phoneticPr fontId="1" type="noConversion"/>
  </si>
  <si>
    <t>[표4]</t>
    <phoneticPr fontId="1" type="noConversion"/>
  </si>
  <si>
    <t>글짓기</t>
  </si>
  <si>
    <t>홍길동</t>
  </si>
  <si>
    <t>남</t>
  </si>
  <si>
    <t>나이</t>
    <phoneticPr fontId="1" type="noConversion"/>
  </si>
  <si>
    <t>02-999-9999</t>
  </si>
  <si>
    <t>성산 초등학교</t>
  </si>
  <si>
    <t>계열</t>
  </si>
  <si>
    <t>모집구분</t>
  </si>
  <si>
    <t>모집정원</t>
  </si>
  <si>
    <t>평균</t>
  </si>
  <si>
    <t>경쟁률</t>
  </si>
  <si>
    <t>예체능계</t>
  </si>
  <si>
    <t>시각디자인과</t>
  </si>
  <si>
    <t>인문계</t>
  </si>
  <si>
    <t>국사학과</t>
  </si>
  <si>
    <t>유아교육과</t>
  </si>
  <si>
    <t>수학교육과</t>
  </si>
  <si>
    <t>중어중문학과</t>
  </si>
  <si>
    <t>영어교육과</t>
  </si>
  <si>
    <t>조건</t>
    <phoneticPr fontId="1" type="noConversion"/>
  </si>
  <si>
    <t>공과대학</t>
  </si>
  <si>
    <t>사범대학</t>
  </si>
  <si>
    <t>사회과학대학</t>
  </si>
  <si>
    <t>예술대학</t>
  </si>
  <si>
    <t>인문대학</t>
  </si>
  <si>
    <t>자연과학대학</t>
  </si>
  <si>
    <t>총합계</t>
  </si>
  <si>
    <t>가형</t>
  </si>
  <si>
    <t>나형</t>
  </si>
  <si>
    <t>평균 : 국어</t>
  </si>
  <si>
    <t>평균 : 영어</t>
  </si>
  <si>
    <t>평균 : 수학</t>
  </si>
  <si>
    <t>평균 : 평균</t>
  </si>
  <si>
    <t>전형</t>
  </si>
  <si>
    <t>단과대학</t>
  </si>
  <si>
    <t>(모두)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</si>
</sst>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0.0_ 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">
    <xf numFmtId="0" fontId="0" fillId="0" borderId="0">
      <alignment vertical="center"/>
    </xf>
    <xf numFmtId="0" fontId="2" fillId="0" borderId="0"/>
    <xf numFmtId="0" fontId="5" fillId="0" borderId="0"/>
    <xf numFmtId="41" fontId="8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3" fillId="0" borderId="1" xfId="1" applyFont="1" applyFill="1" applyBorder="1" applyAlignment="1">
      <alignment horizontal="center" vertical="center"/>
    </xf>
    <xf numFmtId="0" fontId="3" fillId="0" borderId="1" xfId="1" applyFont="1" applyFill="1" applyBorder="1" applyAlignment="1">
      <alignment horizontal="center"/>
    </xf>
    <xf numFmtId="14" fontId="6" fillId="0" borderId="1" xfId="2" applyNumberFormat="1" applyFont="1" applyFill="1" applyBorder="1" applyAlignment="1">
      <alignment horizontal="center" wrapText="1"/>
    </xf>
    <xf numFmtId="0" fontId="0" fillId="0" borderId="0" xfId="0" applyFill="1">
      <alignment vertical="center"/>
    </xf>
    <xf numFmtId="14" fontId="3" fillId="0" borderId="1" xfId="1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14" fontId="0" fillId="0" borderId="1" xfId="0" applyNumberFormat="1" applyFill="1" applyBorder="1" applyAlignment="1">
      <alignment horizontal="center" vertical="center"/>
    </xf>
    <xf numFmtId="14" fontId="3" fillId="0" borderId="1" xfId="1" quotePrefix="1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>
      <alignment vertical="center"/>
    </xf>
    <xf numFmtId="0" fontId="0" fillId="0" borderId="1" xfId="0" applyNumberFormat="1" applyBorder="1" applyAlignment="1">
      <alignment horizontal="center" vertical="center"/>
    </xf>
    <xf numFmtId="0" fontId="7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41" fontId="0" fillId="0" borderId="0" xfId="3" applyFont="1">
      <alignment vertical="center"/>
    </xf>
    <xf numFmtId="0" fontId="0" fillId="0" borderId="3" xfId="0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  <xf numFmtId="0" fontId="9" fillId="3" borderId="7" xfId="0" applyFont="1" applyFill="1" applyBorder="1">
      <alignment vertical="center"/>
    </xf>
    <xf numFmtId="0" fontId="9" fillId="3" borderId="8" xfId="0" applyFont="1" applyFill="1" applyBorder="1">
      <alignment vertical="center"/>
    </xf>
    <xf numFmtId="0" fontId="9" fillId="3" borderId="9" xfId="0" applyFont="1" applyFill="1" applyBorder="1">
      <alignment vertical="center"/>
    </xf>
    <xf numFmtId="0" fontId="0" fillId="4" borderId="7" xfId="0" applyFont="1" applyFill="1" applyBorder="1">
      <alignment vertical="center"/>
    </xf>
    <xf numFmtId="0" fontId="0" fillId="4" borderId="8" xfId="0" applyFont="1" applyFill="1" applyBorder="1">
      <alignment vertical="center"/>
    </xf>
    <xf numFmtId="0" fontId="0" fillId="4" borderId="9" xfId="0" applyFont="1" applyFill="1" applyBorder="1">
      <alignment vertical="center"/>
    </xf>
    <xf numFmtId="0" fontId="0" fillId="0" borderId="7" xfId="0" applyFont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</cellXfs>
  <cellStyles count="4">
    <cellStyle name="쉼표 [0]" xfId="3" builtinId="6"/>
    <cellStyle name="표준" xfId="0" builtinId="0"/>
    <cellStyle name="표준 2" xfId="1"/>
    <cellStyle name="표준_분석작업-1" xfId="2"/>
  </cellStyles>
  <dxfs count="2">
    <dxf>
      <font>
        <b/>
        <i/>
        <color rgb="FFFF0000"/>
      </font>
    </dxf>
    <dxf>
      <font>
        <b val="0"/>
        <i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</c:f>
          <c:strCache>
            <c:ptCount val="1"/>
            <c:pt idx="0">
              <c:v>단과대학 입학 현황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'기타작업-1'!$D$3</c:f>
              <c:strCache>
                <c:ptCount val="1"/>
                <c:pt idx="0">
                  <c:v>평균</c:v>
                </c:pt>
              </c:strCache>
            </c:strRef>
          </c:tx>
          <c:invertIfNegative val="0"/>
          <c:cat>
            <c:strRef>
              <c:f>'기타작업-1'!$B$4:$B$9</c:f>
              <c:strCache>
                <c:ptCount val="6"/>
                <c:pt idx="0">
                  <c:v>자연과학대학</c:v>
                </c:pt>
                <c:pt idx="1">
                  <c:v>공과대학</c:v>
                </c:pt>
                <c:pt idx="2">
                  <c:v>사회과학대학</c:v>
                </c:pt>
                <c:pt idx="3">
                  <c:v>사범대학</c:v>
                </c:pt>
                <c:pt idx="4">
                  <c:v>인문대학</c:v>
                </c:pt>
                <c:pt idx="5">
                  <c:v>예술대학</c:v>
                </c:pt>
              </c:strCache>
            </c:strRef>
          </c:cat>
          <c:val>
            <c:numRef>
              <c:f>'기타작업-1'!$D$4:$D$9</c:f>
              <c:numCache>
                <c:formatCode>General</c:formatCode>
                <c:ptCount val="6"/>
                <c:pt idx="0">
                  <c:v>85</c:v>
                </c:pt>
                <c:pt idx="1">
                  <c:v>80</c:v>
                </c:pt>
                <c:pt idx="2">
                  <c:v>76</c:v>
                </c:pt>
                <c:pt idx="3">
                  <c:v>86</c:v>
                </c:pt>
                <c:pt idx="4">
                  <c:v>78</c:v>
                </c:pt>
                <c:pt idx="5">
                  <c:v>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667968"/>
        <c:axId val="209990144"/>
      </c:barChart>
      <c:lineChart>
        <c:grouping val="standard"/>
        <c:varyColors val="0"/>
        <c:ser>
          <c:idx val="1"/>
          <c:order val="1"/>
          <c:tx>
            <c:strRef>
              <c:f>'기타작업-1'!$H$3</c:f>
              <c:strCache>
                <c:ptCount val="1"/>
                <c:pt idx="0">
                  <c:v>경쟁률</c:v>
                </c:pt>
              </c:strCache>
            </c:strRef>
          </c:tx>
          <c:cat>
            <c:strRef>
              <c:f>'기타작업-1'!$B$4:$B$9</c:f>
              <c:strCache>
                <c:ptCount val="6"/>
                <c:pt idx="0">
                  <c:v>자연과학대학</c:v>
                </c:pt>
                <c:pt idx="1">
                  <c:v>공과대학</c:v>
                </c:pt>
                <c:pt idx="2">
                  <c:v>사회과학대학</c:v>
                </c:pt>
                <c:pt idx="3">
                  <c:v>사범대학</c:v>
                </c:pt>
                <c:pt idx="4">
                  <c:v>인문대학</c:v>
                </c:pt>
                <c:pt idx="5">
                  <c:v>예술대학</c:v>
                </c:pt>
              </c:strCache>
            </c:strRef>
          </c:cat>
          <c:val>
            <c:numRef>
              <c:f>'기타작업-1'!$H$4:$H$9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8</c:v>
                </c:pt>
                <c:pt idx="3">
                  <c:v>5</c:v>
                </c:pt>
                <c:pt idx="4">
                  <c:v>9</c:v>
                </c:pt>
                <c:pt idx="5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665920"/>
        <c:axId val="225476608"/>
      </c:lineChart>
      <c:catAx>
        <c:axId val="203667968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209990144"/>
        <c:crosses val="autoZero"/>
        <c:auto val="1"/>
        <c:lblAlgn val="ctr"/>
        <c:lblOffset val="100"/>
        <c:noMultiLvlLbl val="0"/>
      </c:catAx>
      <c:valAx>
        <c:axId val="209990144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667968"/>
        <c:crosses val="autoZero"/>
        <c:crossBetween val="between"/>
        <c:majorUnit val="20"/>
      </c:valAx>
      <c:valAx>
        <c:axId val="2254766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03665920"/>
        <c:crosses val="max"/>
        <c:crossBetween val="between"/>
        <c:majorUnit val="2"/>
      </c:valAx>
      <c:catAx>
        <c:axId val="203665920"/>
        <c:scaling>
          <c:orientation val="minMax"/>
        </c:scaling>
        <c:delete val="1"/>
        <c:axPos val="b"/>
        <c:majorTickMark val="out"/>
        <c:minorTickMark val="none"/>
        <c:tickLblPos val="nextTo"/>
        <c:crossAx val="22547660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10</xdr:row>
      <xdr:rowOff>0</xdr:rowOff>
    </xdr:from>
    <xdr:to>
      <xdr:col>16</xdr:col>
      <xdr:colOff>0</xdr:colOff>
      <xdr:row>12</xdr:row>
      <xdr:rowOff>0</xdr:rowOff>
    </xdr:to>
    <xdr:sp macro="[0]!성적현황" textlink="">
      <xdr:nvSpPr>
        <xdr:cNvPr id="2" name="빗면 1"/>
        <xdr:cNvSpPr/>
      </xdr:nvSpPr>
      <xdr:spPr>
        <a:xfrm>
          <a:off x="11106150" y="2095500"/>
          <a:ext cx="84772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성적현황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10</xdr:col>
      <xdr:colOff>0</xdr:colOff>
      <xdr:row>28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1</xdr:row>
          <xdr:rowOff>9525</xdr:rowOff>
        </xdr:from>
        <xdr:to>
          <xdr:col>10</xdr:col>
          <xdr:colOff>476250</xdr:colOff>
          <xdr:row>3</xdr:row>
          <xdr:rowOff>9525</xdr:rowOff>
        </xdr:to>
        <xdr:sp macro="" textlink="">
          <xdr:nvSpPr>
            <xdr:cNvPr id="3073" name="cmd대회접수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사용자" refreshedDate="43657.438505208331" createdVersion="4" refreshedVersion="4" minRefreshableVersion="3" recordCount="31">
  <cacheSource type="worksheet">
    <worksheetSource ref="A2:J33" sheet="분석작업-1"/>
  </cacheSource>
  <cacheFields count="10">
    <cacheField name="전형" numFmtId="0">
      <sharedItems count="2">
        <s v="나형"/>
        <s v="가형"/>
      </sharedItems>
    </cacheField>
    <cacheField name="계열" numFmtId="0">
      <sharedItems count="3">
        <s v="자연계"/>
        <s v="인문계"/>
        <s v="예체능계"/>
      </sharedItems>
    </cacheField>
    <cacheField name="단과대학" numFmtId="0">
      <sharedItems count="6">
        <s v="공과대학"/>
        <s v="사범대학"/>
        <s v="자연과학대학"/>
        <s v="예술대학"/>
        <s v="인문대학"/>
        <s v="사회과학대학"/>
      </sharedItems>
    </cacheField>
    <cacheField name="모집구분" numFmtId="0">
      <sharedItems/>
    </cacheField>
    <cacheField name="모집정원" numFmtId="0">
      <sharedItems containsSemiMixedTypes="0" containsString="0" containsNumber="1" containsInteger="1" minValue="10" maxValue="30"/>
    </cacheField>
    <cacheField name="평균" numFmtId="0">
      <sharedItems containsSemiMixedTypes="0" containsString="0" containsNumber="1" containsInteger="1" minValue="67" maxValue="96"/>
    </cacheField>
    <cacheField name="영어" numFmtId="0">
      <sharedItems containsSemiMixedTypes="0" containsString="0" containsNumber="1" containsInteger="1" minValue="61" maxValue="100"/>
    </cacheField>
    <cacheField name="국어" numFmtId="0">
      <sharedItems containsSemiMixedTypes="0" containsString="0" containsNumber="1" containsInteger="1" minValue="60" maxValue="98"/>
    </cacheField>
    <cacheField name="수학" numFmtId="0">
      <sharedItems containsSemiMixedTypes="0" containsString="0" containsNumber="1" containsInteger="1" minValue="60" maxValue="100"/>
    </cacheField>
    <cacheField name="경쟁률" numFmtId="0">
      <sharedItems containsSemiMixedTypes="0" containsString="0" containsNumber="1" minValue="0.30000000000000004" maxValue="19.10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  <x v="0"/>
    <x v="0"/>
    <s v="건축학과"/>
    <n v="16"/>
    <n v="85"/>
    <n v="93"/>
    <n v="98"/>
    <n v="65"/>
    <n v="3"/>
  </r>
  <r>
    <x v="0"/>
    <x v="0"/>
    <x v="0"/>
    <s v="재료과학부"/>
    <n v="10"/>
    <n v="83"/>
    <n v="81"/>
    <n v="80"/>
    <n v="89"/>
    <n v="0.60000000000000009"/>
  </r>
  <r>
    <x v="1"/>
    <x v="1"/>
    <x v="1"/>
    <s v="영어교육과"/>
    <n v="28"/>
    <n v="84"/>
    <n v="79"/>
    <n v="98"/>
    <n v="75"/>
    <n v="10.8"/>
  </r>
  <r>
    <x v="1"/>
    <x v="0"/>
    <x v="2"/>
    <s v="통계학과"/>
    <n v="18"/>
    <n v="81"/>
    <n v="98"/>
    <n v="71"/>
    <n v="74"/>
    <n v="14.100000000000001"/>
  </r>
  <r>
    <x v="0"/>
    <x v="0"/>
    <x v="0"/>
    <s v="기계항공공학과"/>
    <n v="14"/>
    <n v="78"/>
    <n v="82"/>
    <n v="88"/>
    <n v="64"/>
    <n v="12"/>
  </r>
  <r>
    <x v="0"/>
    <x v="0"/>
    <x v="0"/>
    <s v="전자공학과"/>
    <n v="24"/>
    <n v="75"/>
    <n v="77"/>
    <n v="89"/>
    <n v="61"/>
    <n v="11.100000000000001"/>
  </r>
  <r>
    <x v="1"/>
    <x v="2"/>
    <x v="3"/>
    <s v="실내환경디자인과"/>
    <n v="10"/>
    <n v="71"/>
    <n v="61"/>
    <n v="71"/>
    <n v="81"/>
    <n v="4.1999999999999993"/>
  </r>
  <r>
    <x v="1"/>
    <x v="1"/>
    <x v="4"/>
    <s v="국사학과"/>
    <n v="30"/>
    <n v="86"/>
    <n v="73"/>
    <n v="91"/>
    <n v="96"/>
    <n v="19.100000000000001"/>
  </r>
  <r>
    <x v="1"/>
    <x v="0"/>
    <x v="0"/>
    <s v="컴퓨터공학과"/>
    <n v="26"/>
    <n v="85"/>
    <n v="93"/>
    <n v="65"/>
    <n v="98"/>
    <n v="15"/>
  </r>
  <r>
    <x v="0"/>
    <x v="1"/>
    <x v="1"/>
    <s v="수학교육과"/>
    <n v="22"/>
    <n v="84"/>
    <n v="75"/>
    <n v="97"/>
    <n v="80"/>
    <n v="13.200000000000001"/>
  </r>
  <r>
    <x v="1"/>
    <x v="0"/>
    <x v="0"/>
    <s v="로봇공학과"/>
    <n v="11"/>
    <n v="76"/>
    <n v="87"/>
    <n v="66"/>
    <n v="76"/>
    <n v="12.600000000000001"/>
  </r>
  <r>
    <x v="1"/>
    <x v="0"/>
    <x v="2"/>
    <s v="생명과학과"/>
    <n v="21"/>
    <n v="84"/>
    <n v="100"/>
    <n v="77"/>
    <n v="77"/>
    <n v="7.1999999999999993"/>
  </r>
  <r>
    <x v="1"/>
    <x v="1"/>
    <x v="4"/>
    <s v="중어중문학과"/>
    <n v="26"/>
    <n v="75"/>
    <n v="63"/>
    <n v="73"/>
    <n v="91"/>
    <n v="12"/>
  </r>
  <r>
    <x v="1"/>
    <x v="0"/>
    <x v="5"/>
    <s v="심리학과"/>
    <n v="23"/>
    <n v="72"/>
    <n v="62"/>
    <n v="89"/>
    <n v="66"/>
    <n v="14.3"/>
  </r>
  <r>
    <x v="1"/>
    <x v="1"/>
    <x v="4"/>
    <s v="영어영문학과"/>
    <n v="17"/>
    <n v="77"/>
    <n v="67"/>
    <n v="74"/>
    <n v="92"/>
    <n v="2.7"/>
  </r>
  <r>
    <x v="1"/>
    <x v="1"/>
    <x v="1"/>
    <s v="교육대학"/>
    <n v="22"/>
    <n v="86"/>
    <n v="71"/>
    <n v="98"/>
    <n v="90"/>
    <n v="6"/>
  </r>
  <r>
    <x v="0"/>
    <x v="2"/>
    <x v="3"/>
    <s v="패션디자인과"/>
    <n v="22"/>
    <n v="82"/>
    <n v="85"/>
    <n v="95"/>
    <n v="67"/>
    <n v="0.30000000000000004"/>
  </r>
  <r>
    <x v="1"/>
    <x v="0"/>
    <x v="0"/>
    <s v="자동차공학과"/>
    <n v="25"/>
    <n v="71"/>
    <n v="68"/>
    <n v="73"/>
    <n v="72"/>
    <n v="13.799999999999999"/>
  </r>
  <r>
    <x v="0"/>
    <x v="0"/>
    <x v="5"/>
    <s v="사회복지학과"/>
    <n v="27"/>
    <n v="70"/>
    <n v="80"/>
    <n v="67"/>
    <n v="63"/>
    <n v="4.5"/>
  </r>
  <r>
    <x v="1"/>
    <x v="0"/>
    <x v="5"/>
    <s v="경제학과"/>
    <n v="10"/>
    <n v="67"/>
    <n v="75"/>
    <n v="62"/>
    <n v="64"/>
    <n v="13.200000000000001"/>
  </r>
  <r>
    <x v="0"/>
    <x v="1"/>
    <x v="1"/>
    <s v="유아교육과"/>
    <n v="30"/>
    <n v="92"/>
    <n v="82"/>
    <n v="96"/>
    <n v="99"/>
    <n v="13.200000000000001"/>
  </r>
  <r>
    <x v="0"/>
    <x v="1"/>
    <x v="4"/>
    <s v="불어불문학과"/>
    <n v="22"/>
    <n v="85"/>
    <n v="96"/>
    <n v="85"/>
    <n v="76"/>
    <n v="2.4000000000000004"/>
  </r>
  <r>
    <x v="0"/>
    <x v="0"/>
    <x v="5"/>
    <s v="사회학과"/>
    <n v="24"/>
    <n v="76"/>
    <n v="79"/>
    <n v="60"/>
    <n v="90"/>
    <n v="4.8000000000000007"/>
  </r>
  <r>
    <x v="0"/>
    <x v="0"/>
    <x v="2"/>
    <s v="물리학과"/>
    <n v="19"/>
    <n v="96"/>
    <n v="99"/>
    <n v="97"/>
    <n v="94"/>
    <n v="0.89999999999999991"/>
  </r>
  <r>
    <x v="1"/>
    <x v="2"/>
    <x v="3"/>
    <s v="산업디자인과"/>
    <n v="30"/>
    <n v="70"/>
    <n v="85"/>
    <n v="65"/>
    <n v="61"/>
    <n v="8.1000000000000014"/>
  </r>
  <r>
    <x v="1"/>
    <x v="0"/>
    <x v="0"/>
    <s v="기계공학과"/>
    <n v="28"/>
    <n v="86"/>
    <n v="92"/>
    <n v="79"/>
    <n v="87"/>
    <n v="13.1"/>
  </r>
  <r>
    <x v="0"/>
    <x v="1"/>
    <x v="4"/>
    <s v="일본학과"/>
    <n v="11"/>
    <n v="74"/>
    <n v="90"/>
    <n v="73"/>
    <n v="60"/>
    <n v="6.6000000000000005"/>
  </r>
  <r>
    <x v="0"/>
    <x v="0"/>
    <x v="2"/>
    <s v="화학학과"/>
    <n v="25"/>
    <n v="80"/>
    <n v="76"/>
    <n v="84"/>
    <n v="80"/>
    <n v="1.2000000000000002"/>
  </r>
  <r>
    <x v="0"/>
    <x v="2"/>
    <x v="3"/>
    <s v="시각디자인과"/>
    <n v="14"/>
    <n v="78"/>
    <n v="90"/>
    <n v="64"/>
    <n v="82"/>
    <n v="10.199999999999999"/>
  </r>
  <r>
    <x v="0"/>
    <x v="0"/>
    <x v="5"/>
    <s v="정치외교학과"/>
    <n v="26"/>
    <n v="96"/>
    <n v="90"/>
    <n v="98"/>
    <n v="100"/>
    <n v="3"/>
  </r>
  <r>
    <x v="0"/>
    <x v="1"/>
    <x v="4"/>
    <s v="국어국문학과"/>
    <n v="29"/>
    <n v="71"/>
    <n v="62"/>
    <n v="76"/>
    <n v="77"/>
    <n v="6.30000000000000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1" applyNumberFormats="0" applyBorderFormats="0" applyFontFormats="0" applyPatternFormats="0" applyAlignmentFormats="0" applyWidthHeightFormats="1" dataCaption="값" updatedVersion="4" minRefreshableVersion="3" showDrill="0" useAutoFormatting="1" itemPrintTitles="1" createdVersion="4" indent="0" compact="0" outline="1" outlineData="1" compactData="0" multipleFieldFilters="0">
  <location ref="L3:Q18" firstHeaderRow="0" firstDataRow="1" firstDataCol="2" rowPageCount="1" colPageCount="1"/>
  <pivotFields count="10">
    <pivotField axis="axisRow" compact="0" showAll="0">
      <items count="3">
        <item x="1"/>
        <item x="0"/>
        <item t="default"/>
      </items>
    </pivotField>
    <pivotField axis="axisPage" compact="0" showAll="0">
      <items count="4">
        <item x="2"/>
        <item x="1"/>
        <item x="0"/>
        <item t="default"/>
      </items>
    </pivotField>
    <pivotField axis="axisRow" compact="0" showAll="0">
      <items count="7">
        <item x="0"/>
        <item x="1"/>
        <item x="5"/>
        <item x="3"/>
        <item x="4"/>
        <item x="2"/>
        <item t="default"/>
      </items>
    </pivotField>
    <pivotField compact="0" showAll="0"/>
    <pivotField compact="0" showAll="0"/>
    <pivotField dataField="1" compact="0" showAll="0"/>
    <pivotField dataField="1" compact="0" showAll="0"/>
    <pivotField dataField="1" compact="0" showAll="0"/>
    <pivotField dataField="1" compact="0" showAll="0"/>
    <pivotField compact="0" showAll="0"/>
  </pivotFields>
  <rowFields count="2">
    <field x="0"/>
    <field x="2"/>
  </rowFields>
  <rowItems count="15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평균 : 국어" fld="7" subtotal="average" baseField="0" baseItem="1" numFmtId="176"/>
    <dataField name="평균 : 영어" fld="6" subtotal="average" baseField="0" baseItem="1" numFmtId="176"/>
    <dataField name="평균 : 수학" fld="8" subtotal="average" baseField="2" baseItem="0" numFmtId="176"/>
    <dataField name="평균 : 평균" fld="5" subtotal="average" baseField="0" baseItem="1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9"/>
  <sheetViews>
    <sheetView tabSelected="1" workbookViewId="0"/>
  </sheetViews>
  <sheetFormatPr defaultRowHeight="16.5"/>
  <cols>
    <col min="2" max="2" width="9" customWidth="1"/>
    <col min="3" max="3" width="13" customWidth="1"/>
    <col min="4" max="4" width="11.25" bestFit="1" customWidth="1"/>
    <col min="5" max="5" width="7.5" bestFit="1" customWidth="1"/>
    <col min="6" max="6" width="12.75" bestFit="1" customWidth="1"/>
  </cols>
  <sheetData>
    <row r="2" spans="2:6">
      <c r="B2" t="s">
        <v>131</v>
      </c>
    </row>
    <row r="3" spans="2:6">
      <c r="B3" s="26" t="s">
        <v>143</v>
      </c>
      <c r="C3" s="27" t="s">
        <v>144</v>
      </c>
      <c r="D3" s="27" t="s">
        <v>145</v>
      </c>
      <c r="E3" s="27" t="s">
        <v>146</v>
      </c>
      <c r="F3" s="28" t="s">
        <v>147</v>
      </c>
    </row>
    <row r="4" spans="2:6">
      <c r="B4" s="29" t="s">
        <v>148</v>
      </c>
      <c r="C4" s="30" t="s">
        <v>149</v>
      </c>
      <c r="D4" s="30">
        <v>14</v>
      </c>
      <c r="E4" s="30">
        <v>78</v>
      </c>
      <c r="F4" s="31">
        <v>10.199999809265137</v>
      </c>
    </row>
    <row r="5" spans="2:6">
      <c r="B5" s="32" t="s">
        <v>150</v>
      </c>
      <c r="C5" s="33" t="s">
        <v>151</v>
      </c>
      <c r="D5" s="33">
        <v>30</v>
      </c>
      <c r="E5" s="33">
        <v>86</v>
      </c>
      <c r="F5" s="34">
        <v>19.100000381469727</v>
      </c>
    </row>
    <row r="6" spans="2:6">
      <c r="B6" s="29" t="s">
        <v>150</v>
      </c>
      <c r="C6" s="30" t="s">
        <v>152</v>
      </c>
      <c r="D6" s="30">
        <v>30</v>
      </c>
      <c r="E6" s="30">
        <v>92</v>
      </c>
      <c r="F6" s="31">
        <v>13.199999809265137</v>
      </c>
    </row>
    <row r="7" spans="2:6">
      <c r="B7" s="32" t="s">
        <v>150</v>
      </c>
      <c r="C7" s="33" t="s">
        <v>153</v>
      </c>
      <c r="D7" s="33">
        <v>22</v>
      </c>
      <c r="E7" s="33">
        <v>84</v>
      </c>
      <c r="F7" s="34">
        <v>13.199999809265137</v>
      </c>
    </row>
    <row r="8" spans="2:6">
      <c r="B8" s="29" t="s">
        <v>150</v>
      </c>
      <c r="C8" s="30" t="s">
        <v>154</v>
      </c>
      <c r="D8" s="30">
        <v>26</v>
      </c>
      <c r="E8" s="30">
        <v>75</v>
      </c>
      <c r="F8" s="31">
        <v>12</v>
      </c>
    </row>
    <row r="9" spans="2:6">
      <c r="B9" s="23" t="s">
        <v>150</v>
      </c>
      <c r="C9" s="24" t="s">
        <v>155</v>
      </c>
      <c r="D9" s="24">
        <v>28</v>
      </c>
      <c r="E9" s="24">
        <v>84</v>
      </c>
      <c r="F9" s="25">
        <v>10.800000190734863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44"/>
  <sheetViews>
    <sheetView workbookViewId="0"/>
  </sheetViews>
  <sheetFormatPr defaultRowHeight="16.5"/>
  <cols>
    <col min="3" max="3" width="12.875" customWidth="1"/>
    <col min="4" max="4" width="17.25" bestFit="1" customWidth="1"/>
  </cols>
  <sheetData>
    <row r="1" spans="1:10">
      <c r="A1" t="s">
        <v>132</v>
      </c>
    </row>
    <row r="2" spans="1:10">
      <c r="A2" s="10" t="s">
        <v>56</v>
      </c>
      <c r="B2" s="10" t="s">
        <v>59</v>
      </c>
      <c r="C2" s="10" t="s">
        <v>61</v>
      </c>
      <c r="D2" s="10" t="s">
        <v>75</v>
      </c>
      <c r="E2" s="10" t="s">
        <v>76</v>
      </c>
      <c r="F2" s="10" t="s">
        <v>77</v>
      </c>
      <c r="G2" s="10" t="s">
        <v>78</v>
      </c>
      <c r="H2" s="10" t="s">
        <v>79</v>
      </c>
      <c r="I2" s="10" t="s">
        <v>80</v>
      </c>
      <c r="J2" s="10" t="s">
        <v>112</v>
      </c>
    </row>
    <row r="3" spans="1:10">
      <c r="A3" s="10" t="s">
        <v>107</v>
      </c>
      <c r="B3" s="10" t="s">
        <v>60</v>
      </c>
      <c r="C3" s="10" t="s">
        <v>62</v>
      </c>
      <c r="D3" s="10" t="s">
        <v>65</v>
      </c>
      <c r="E3" s="10">
        <v>16</v>
      </c>
      <c r="F3" s="10">
        <v>85</v>
      </c>
      <c r="G3" s="10">
        <v>93</v>
      </c>
      <c r="H3" s="10">
        <v>98</v>
      </c>
      <c r="I3" s="10">
        <v>65</v>
      </c>
      <c r="J3" s="15">
        <v>3</v>
      </c>
    </row>
    <row r="4" spans="1:10">
      <c r="A4" s="10" t="s">
        <v>58</v>
      </c>
      <c r="B4" s="10" t="s">
        <v>60</v>
      </c>
      <c r="C4" s="10" t="s">
        <v>62</v>
      </c>
      <c r="D4" s="10" t="s">
        <v>90</v>
      </c>
      <c r="E4" s="10">
        <v>10</v>
      </c>
      <c r="F4" s="10">
        <v>83</v>
      </c>
      <c r="G4" s="10">
        <v>81</v>
      </c>
      <c r="H4" s="10">
        <v>80</v>
      </c>
      <c r="I4" s="10">
        <v>89</v>
      </c>
      <c r="J4" s="15">
        <v>0.60000000000000009</v>
      </c>
    </row>
    <row r="5" spans="1:10">
      <c r="A5" s="10" t="s">
        <v>57</v>
      </c>
      <c r="B5" s="10" t="s">
        <v>63</v>
      </c>
      <c r="C5" s="10" t="s">
        <v>70</v>
      </c>
      <c r="D5" s="10" t="s">
        <v>83</v>
      </c>
      <c r="E5" s="10">
        <v>28</v>
      </c>
      <c r="F5" s="10">
        <v>84</v>
      </c>
      <c r="G5" s="10">
        <v>79</v>
      </c>
      <c r="H5" s="10">
        <v>98</v>
      </c>
      <c r="I5" s="10">
        <v>75</v>
      </c>
      <c r="J5" s="15">
        <v>10.8</v>
      </c>
    </row>
    <row r="6" spans="1:10">
      <c r="A6" s="10" t="s">
        <v>57</v>
      </c>
      <c r="B6" s="10" t="s">
        <v>60</v>
      </c>
      <c r="C6" s="10" t="s">
        <v>71</v>
      </c>
      <c r="D6" s="10" t="s">
        <v>73</v>
      </c>
      <c r="E6" s="10">
        <v>18</v>
      </c>
      <c r="F6" s="10">
        <v>81</v>
      </c>
      <c r="G6" s="10">
        <v>98</v>
      </c>
      <c r="H6" s="10">
        <v>71</v>
      </c>
      <c r="I6" s="10">
        <v>74</v>
      </c>
      <c r="J6" s="15">
        <v>14.100000000000001</v>
      </c>
    </row>
    <row r="7" spans="1:10">
      <c r="A7" s="10" t="s">
        <v>58</v>
      </c>
      <c r="B7" s="10" t="s">
        <v>60</v>
      </c>
      <c r="C7" s="10" t="s">
        <v>62</v>
      </c>
      <c r="D7" s="10" t="s">
        <v>105</v>
      </c>
      <c r="E7" s="10">
        <v>14</v>
      </c>
      <c r="F7" s="10">
        <v>78</v>
      </c>
      <c r="G7" s="10">
        <v>82</v>
      </c>
      <c r="H7" s="10">
        <v>88</v>
      </c>
      <c r="I7" s="10">
        <v>64</v>
      </c>
      <c r="J7" s="15">
        <v>12</v>
      </c>
    </row>
    <row r="8" spans="1:10">
      <c r="A8" s="10" t="s">
        <v>58</v>
      </c>
      <c r="B8" s="10" t="s">
        <v>60</v>
      </c>
      <c r="C8" s="10" t="s">
        <v>62</v>
      </c>
      <c r="D8" s="10" t="s">
        <v>67</v>
      </c>
      <c r="E8" s="10">
        <v>24</v>
      </c>
      <c r="F8" s="10">
        <v>75</v>
      </c>
      <c r="G8" s="10">
        <v>77</v>
      </c>
      <c r="H8" s="10">
        <v>89</v>
      </c>
      <c r="I8" s="10">
        <v>61</v>
      </c>
      <c r="J8" s="15">
        <v>11.100000000000001</v>
      </c>
    </row>
    <row r="9" spans="1:10">
      <c r="A9" s="10" t="s">
        <v>57</v>
      </c>
      <c r="B9" s="10" t="s">
        <v>64</v>
      </c>
      <c r="C9" s="10" t="s">
        <v>74</v>
      </c>
      <c r="D9" s="10" t="s">
        <v>86</v>
      </c>
      <c r="E9" s="10">
        <v>10</v>
      </c>
      <c r="F9" s="10">
        <v>71</v>
      </c>
      <c r="G9" s="10">
        <v>61</v>
      </c>
      <c r="H9" s="10">
        <v>71</v>
      </c>
      <c r="I9" s="10">
        <v>81</v>
      </c>
      <c r="J9" s="15">
        <v>4.1999999999999993</v>
      </c>
    </row>
    <row r="10" spans="1:10">
      <c r="A10" s="10" t="s">
        <v>57</v>
      </c>
      <c r="B10" s="10" t="s">
        <v>63</v>
      </c>
      <c r="C10" s="10" t="s">
        <v>69</v>
      </c>
      <c r="D10" s="10" t="s">
        <v>88</v>
      </c>
      <c r="E10" s="10">
        <v>30</v>
      </c>
      <c r="F10" s="10">
        <v>86</v>
      </c>
      <c r="G10" s="10">
        <v>73</v>
      </c>
      <c r="H10" s="10">
        <v>91</v>
      </c>
      <c r="I10" s="10">
        <v>96</v>
      </c>
      <c r="J10" s="15">
        <v>19.100000000000001</v>
      </c>
    </row>
    <row r="11" spans="1:10">
      <c r="A11" s="10" t="s">
        <v>57</v>
      </c>
      <c r="B11" s="10" t="s">
        <v>60</v>
      </c>
      <c r="C11" s="10" t="s">
        <v>62</v>
      </c>
      <c r="D11" s="10" t="s">
        <v>68</v>
      </c>
      <c r="E11" s="10">
        <v>26</v>
      </c>
      <c r="F11" s="10">
        <v>85</v>
      </c>
      <c r="G11" s="10">
        <v>93</v>
      </c>
      <c r="H11" s="10">
        <v>65</v>
      </c>
      <c r="I11" s="10">
        <v>98</v>
      </c>
      <c r="J11" s="15">
        <v>15</v>
      </c>
    </row>
    <row r="12" spans="1:10">
      <c r="A12" s="10" t="s">
        <v>58</v>
      </c>
      <c r="B12" s="10" t="s">
        <v>63</v>
      </c>
      <c r="C12" s="10" t="s">
        <v>70</v>
      </c>
      <c r="D12" s="10" t="s">
        <v>89</v>
      </c>
      <c r="E12" s="10">
        <v>22</v>
      </c>
      <c r="F12" s="10">
        <v>84</v>
      </c>
      <c r="G12" s="10">
        <v>75</v>
      </c>
      <c r="H12" s="10">
        <v>97</v>
      </c>
      <c r="I12" s="10">
        <v>80</v>
      </c>
      <c r="J12" s="15">
        <v>13.200000000000001</v>
      </c>
    </row>
    <row r="13" spans="1:10">
      <c r="A13" s="10" t="s">
        <v>57</v>
      </c>
      <c r="B13" s="10" t="s">
        <v>60</v>
      </c>
      <c r="C13" s="10" t="s">
        <v>62</v>
      </c>
      <c r="D13" s="10" t="s">
        <v>106</v>
      </c>
      <c r="E13" s="10">
        <v>11</v>
      </c>
      <c r="F13" s="10">
        <v>76</v>
      </c>
      <c r="G13" s="10">
        <v>87</v>
      </c>
      <c r="H13" s="10">
        <v>66</v>
      </c>
      <c r="I13" s="10">
        <v>76</v>
      </c>
      <c r="J13" s="15">
        <v>12.600000000000001</v>
      </c>
    </row>
    <row r="14" spans="1:10">
      <c r="A14" s="10" t="s">
        <v>57</v>
      </c>
      <c r="B14" s="10" t="s">
        <v>60</v>
      </c>
      <c r="C14" s="10" t="s">
        <v>71</v>
      </c>
      <c r="D14" s="10" t="s">
        <v>95</v>
      </c>
      <c r="E14" s="10">
        <v>21</v>
      </c>
      <c r="F14" s="10">
        <v>84</v>
      </c>
      <c r="G14" s="10">
        <v>100</v>
      </c>
      <c r="H14" s="10">
        <v>77</v>
      </c>
      <c r="I14" s="10">
        <v>77</v>
      </c>
      <c r="J14" s="15">
        <v>7.1999999999999993</v>
      </c>
    </row>
    <row r="15" spans="1:10">
      <c r="A15" s="10" t="s">
        <v>57</v>
      </c>
      <c r="B15" s="10" t="s">
        <v>63</v>
      </c>
      <c r="C15" s="10" t="s">
        <v>69</v>
      </c>
      <c r="D15" s="10" t="s">
        <v>102</v>
      </c>
      <c r="E15" s="10">
        <v>26</v>
      </c>
      <c r="F15" s="10">
        <v>75</v>
      </c>
      <c r="G15" s="10">
        <v>63</v>
      </c>
      <c r="H15" s="10">
        <v>73</v>
      </c>
      <c r="I15" s="10">
        <v>91</v>
      </c>
      <c r="J15" s="15">
        <v>12</v>
      </c>
    </row>
    <row r="16" spans="1:10">
      <c r="A16" s="10" t="s">
        <v>57</v>
      </c>
      <c r="B16" s="10" t="s">
        <v>60</v>
      </c>
      <c r="C16" s="10" t="s">
        <v>96</v>
      </c>
      <c r="D16" s="10" t="s">
        <v>100</v>
      </c>
      <c r="E16" s="10">
        <v>23</v>
      </c>
      <c r="F16" s="10">
        <v>72</v>
      </c>
      <c r="G16" s="10">
        <v>62</v>
      </c>
      <c r="H16" s="10">
        <v>89</v>
      </c>
      <c r="I16" s="10">
        <v>66</v>
      </c>
      <c r="J16" s="15">
        <v>14.3</v>
      </c>
    </row>
    <row r="17" spans="1:10">
      <c r="A17" s="10" t="s">
        <v>57</v>
      </c>
      <c r="B17" s="10" t="s">
        <v>63</v>
      </c>
      <c r="C17" s="10" t="s">
        <v>69</v>
      </c>
      <c r="D17" s="10" t="s">
        <v>92</v>
      </c>
      <c r="E17" s="10">
        <v>17</v>
      </c>
      <c r="F17" s="10">
        <v>77</v>
      </c>
      <c r="G17" s="10">
        <v>67</v>
      </c>
      <c r="H17" s="10">
        <v>74</v>
      </c>
      <c r="I17" s="10">
        <v>92</v>
      </c>
      <c r="J17" s="15">
        <v>2.7</v>
      </c>
    </row>
    <row r="18" spans="1:10">
      <c r="A18" s="10" t="s">
        <v>57</v>
      </c>
      <c r="B18" s="10" t="s">
        <v>63</v>
      </c>
      <c r="C18" s="10" t="s">
        <v>70</v>
      </c>
      <c r="D18" s="10" t="s">
        <v>81</v>
      </c>
      <c r="E18" s="10">
        <v>22</v>
      </c>
      <c r="F18" s="10">
        <v>86</v>
      </c>
      <c r="G18" s="10">
        <v>71</v>
      </c>
      <c r="H18" s="10">
        <v>98</v>
      </c>
      <c r="I18" s="10">
        <v>90</v>
      </c>
      <c r="J18" s="15">
        <v>6</v>
      </c>
    </row>
    <row r="19" spans="1:10">
      <c r="A19" s="10" t="s">
        <v>58</v>
      </c>
      <c r="B19" s="10" t="s">
        <v>64</v>
      </c>
      <c r="C19" s="10" t="s">
        <v>74</v>
      </c>
      <c r="D19" s="10" t="s">
        <v>87</v>
      </c>
      <c r="E19" s="10">
        <v>22</v>
      </c>
      <c r="F19" s="10">
        <v>82</v>
      </c>
      <c r="G19" s="10">
        <v>85</v>
      </c>
      <c r="H19" s="10">
        <v>95</v>
      </c>
      <c r="I19" s="10">
        <v>67</v>
      </c>
      <c r="J19" s="15">
        <v>0.30000000000000004</v>
      </c>
    </row>
    <row r="20" spans="1:10">
      <c r="A20" s="10" t="s">
        <v>57</v>
      </c>
      <c r="B20" s="10" t="s">
        <v>60</v>
      </c>
      <c r="C20" s="10" t="s">
        <v>62</v>
      </c>
      <c r="D20" s="10" t="s">
        <v>104</v>
      </c>
      <c r="E20" s="10">
        <v>25</v>
      </c>
      <c r="F20" s="10">
        <v>71</v>
      </c>
      <c r="G20" s="10">
        <v>68</v>
      </c>
      <c r="H20" s="10">
        <v>73</v>
      </c>
      <c r="I20" s="10">
        <v>72</v>
      </c>
      <c r="J20" s="15">
        <v>13.799999999999999</v>
      </c>
    </row>
    <row r="21" spans="1:10">
      <c r="A21" s="10" t="s">
        <v>58</v>
      </c>
      <c r="B21" s="10" t="s">
        <v>60</v>
      </c>
      <c r="C21" s="10" t="s">
        <v>96</v>
      </c>
      <c r="D21" s="10" t="s">
        <v>101</v>
      </c>
      <c r="E21" s="10">
        <v>27</v>
      </c>
      <c r="F21" s="10">
        <v>70</v>
      </c>
      <c r="G21" s="10">
        <v>80</v>
      </c>
      <c r="H21" s="10">
        <v>67</v>
      </c>
      <c r="I21" s="10">
        <v>63</v>
      </c>
      <c r="J21" s="15">
        <v>4.5</v>
      </c>
    </row>
    <row r="22" spans="1:10">
      <c r="A22" s="10" t="s">
        <v>57</v>
      </c>
      <c r="B22" s="10" t="s">
        <v>60</v>
      </c>
      <c r="C22" s="10" t="s">
        <v>96</v>
      </c>
      <c r="D22" s="10" t="s">
        <v>98</v>
      </c>
      <c r="E22" s="10">
        <v>10</v>
      </c>
      <c r="F22" s="10">
        <v>67</v>
      </c>
      <c r="G22" s="10">
        <v>75</v>
      </c>
      <c r="H22" s="10">
        <v>62</v>
      </c>
      <c r="I22" s="10">
        <v>64</v>
      </c>
      <c r="J22" s="15">
        <v>13.200000000000001</v>
      </c>
    </row>
    <row r="23" spans="1:10">
      <c r="A23" s="10" t="s">
        <v>58</v>
      </c>
      <c r="B23" s="10" t="s">
        <v>63</v>
      </c>
      <c r="C23" s="10" t="s">
        <v>70</v>
      </c>
      <c r="D23" s="10" t="s">
        <v>82</v>
      </c>
      <c r="E23" s="10">
        <v>30</v>
      </c>
      <c r="F23" s="10">
        <v>92</v>
      </c>
      <c r="G23" s="10">
        <v>82</v>
      </c>
      <c r="H23" s="10">
        <v>96</v>
      </c>
      <c r="I23" s="10">
        <v>99</v>
      </c>
      <c r="J23" s="15">
        <v>13.200000000000001</v>
      </c>
    </row>
    <row r="24" spans="1:10">
      <c r="A24" s="10" t="s">
        <v>58</v>
      </c>
      <c r="B24" s="10" t="s">
        <v>63</v>
      </c>
      <c r="C24" s="10" t="s">
        <v>69</v>
      </c>
      <c r="D24" s="10" t="s">
        <v>93</v>
      </c>
      <c r="E24" s="10">
        <v>22</v>
      </c>
      <c r="F24" s="10">
        <v>85</v>
      </c>
      <c r="G24" s="10">
        <v>96</v>
      </c>
      <c r="H24" s="10">
        <v>85</v>
      </c>
      <c r="I24" s="10">
        <v>76</v>
      </c>
      <c r="J24" s="15">
        <v>2.4000000000000004</v>
      </c>
    </row>
    <row r="25" spans="1:10">
      <c r="A25" s="10" t="s">
        <v>58</v>
      </c>
      <c r="B25" s="10" t="s">
        <v>60</v>
      </c>
      <c r="C25" s="10" t="s">
        <v>96</v>
      </c>
      <c r="D25" s="10" t="s">
        <v>99</v>
      </c>
      <c r="E25" s="10">
        <v>24</v>
      </c>
      <c r="F25" s="10">
        <v>76</v>
      </c>
      <c r="G25" s="10">
        <v>79</v>
      </c>
      <c r="H25" s="10">
        <v>60</v>
      </c>
      <c r="I25" s="10">
        <v>90</v>
      </c>
      <c r="J25" s="15">
        <v>4.8000000000000007</v>
      </c>
    </row>
    <row r="26" spans="1:10">
      <c r="A26" s="10" t="s">
        <v>58</v>
      </c>
      <c r="B26" s="10" t="s">
        <v>60</v>
      </c>
      <c r="C26" s="10" t="s">
        <v>71</v>
      </c>
      <c r="D26" s="10" t="s">
        <v>72</v>
      </c>
      <c r="E26" s="10">
        <v>19</v>
      </c>
      <c r="F26" s="10">
        <v>96</v>
      </c>
      <c r="G26" s="10">
        <v>99</v>
      </c>
      <c r="H26" s="10">
        <v>97</v>
      </c>
      <c r="I26" s="10">
        <v>94</v>
      </c>
      <c r="J26" s="15">
        <v>0.89999999999999991</v>
      </c>
    </row>
    <row r="27" spans="1:10">
      <c r="A27" s="10" t="s">
        <v>57</v>
      </c>
      <c r="B27" s="10" t="s">
        <v>64</v>
      </c>
      <c r="C27" s="10" t="s">
        <v>74</v>
      </c>
      <c r="D27" s="10" t="s">
        <v>84</v>
      </c>
      <c r="E27" s="10">
        <v>30</v>
      </c>
      <c r="F27" s="10">
        <v>70</v>
      </c>
      <c r="G27" s="10">
        <v>85</v>
      </c>
      <c r="H27" s="10">
        <v>65</v>
      </c>
      <c r="I27" s="10">
        <v>61</v>
      </c>
      <c r="J27" s="15">
        <v>8.1000000000000014</v>
      </c>
    </row>
    <row r="28" spans="1:10">
      <c r="A28" s="10" t="s">
        <v>57</v>
      </c>
      <c r="B28" s="10" t="s">
        <v>60</v>
      </c>
      <c r="C28" s="10" t="s">
        <v>62</v>
      </c>
      <c r="D28" s="10" t="s">
        <v>66</v>
      </c>
      <c r="E28" s="10">
        <v>28</v>
      </c>
      <c r="F28" s="10">
        <v>86</v>
      </c>
      <c r="G28" s="10">
        <v>92</v>
      </c>
      <c r="H28" s="10">
        <v>79</v>
      </c>
      <c r="I28" s="10">
        <v>87</v>
      </c>
      <c r="J28" s="15">
        <v>13.1</v>
      </c>
    </row>
    <row r="29" spans="1:10">
      <c r="A29" s="10" t="s">
        <v>58</v>
      </c>
      <c r="B29" s="10" t="s">
        <v>63</v>
      </c>
      <c r="C29" s="10" t="s">
        <v>69</v>
      </c>
      <c r="D29" s="10" t="s">
        <v>103</v>
      </c>
      <c r="E29" s="10">
        <v>11</v>
      </c>
      <c r="F29" s="10">
        <v>74</v>
      </c>
      <c r="G29" s="10">
        <v>90</v>
      </c>
      <c r="H29" s="10">
        <v>73</v>
      </c>
      <c r="I29" s="10">
        <v>60</v>
      </c>
      <c r="J29" s="15">
        <v>6.6000000000000005</v>
      </c>
    </row>
    <row r="30" spans="1:10">
      <c r="A30" s="10" t="s">
        <v>58</v>
      </c>
      <c r="B30" s="10" t="s">
        <v>60</v>
      </c>
      <c r="C30" s="10" t="s">
        <v>71</v>
      </c>
      <c r="D30" s="10" t="s">
        <v>94</v>
      </c>
      <c r="E30" s="10">
        <v>25</v>
      </c>
      <c r="F30" s="10">
        <v>80</v>
      </c>
      <c r="G30" s="10">
        <v>76</v>
      </c>
      <c r="H30" s="10">
        <v>84</v>
      </c>
      <c r="I30" s="10">
        <v>80</v>
      </c>
      <c r="J30" s="15">
        <v>1.2000000000000002</v>
      </c>
    </row>
    <row r="31" spans="1:10">
      <c r="A31" s="10" t="s">
        <v>58</v>
      </c>
      <c r="B31" s="10" t="s">
        <v>64</v>
      </c>
      <c r="C31" s="10" t="s">
        <v>74</v>
      </c>
      <c r="D31" s="10" t="s">
        <v>85</v>
      </c>
      <c r="E31" s="10">
        <v>14</v>
      </c>
      <c r="F31" s="10">
        <v>78</v>
      </c>
      <c r="G31" s="10">
        <v>90</v>
      </c>
      <c r="H31" s="10">
        <v>64</v>
      </c>
      <c r="I31" s="10">
        <v>82</v>
      </c>
      <c r="J31" s="15">
        <v>10.199999999999999</v>
      </c>
    </row>
    <row r="32" spans="1:10">
      <c r="A32" s="10" t="s">
        <v>58</v>
      </c>
      <c r="B32" s="10" t="s">
        <v>60</v>
      </c>
      <c r="C32" s="10" t="s">
        <v>96</v>
      </c>
      <c r="D32" s="10" t="s">
        <v>97</v>
      </c>
      <c r="E32" s="10">
        <v>26</v>
      </c>
      <c r="F32" s="10">
        <v>96</v>
      </c>
      <c r="G32" s="10">
        <v>90</v>
      </c>
      <c r="H32" s="10">
        <v>98</v>
      </c>
      <c r="I32" s="10">
        <v>100</v>
      </c>
      <c r="J32" s="15">
        <v>3</v>
      </c>
    </row>
    <row r="33" spans="1:10">
      <c r="A33" s="10" t="s">
        <v>58</v>
      </c>
      <c r="B33" s="10" t="s">
        <v>63</v>
      </c>
      <c r="C33" s="10" t="s">
        <v>69</v>
      </c>
      <c r="D33" s="10" t="s">
        <v>91</v>
      </c>
      <c r="E33" s="10">
        <v>29</v>
      </c>
      <c r="F33" s="10">
        <v>71</v>
      </c>
      <c r="G33" s="10">
        <v>62</v>
      </c>
      <c r="H33" s="10">
        <v>76</v>
      </c>
      <c r="I33" s="10">
        <v>77</v>
      </c>
      <c r="J33" s="15">
        <v>6.3000000000000007</v>
      </c>
    </row>
    <row r="35" spans="1:10">
      <c r="A35" s="35" t="s">
        <v>156</v>
      </c>
    </row>
    <row r="36" spans="1:10">
      <c r="A36" t="b">
        <f>OR(J3&gt;=LARGE($J$3:$J$33,3),J3&lt;=SMALL($J$3:$J$33,3))</f>
        <v>0</v>
      </c>
    </row>
    <row r="38" spans="1:10">
      <c r="A38" s="10" t="s">
        <v>56</v>
      </c>
      <c r="B38" s="10" t="s">
        <v>59</v>
      </c>
      <c r="C38" s="10" t="s">
        <v>61</v>
      </c>
      <c r="D38" s="10" t="s">
        <v>75</v>
      </c>
      <c r="E38" s="10" t="s">
        <v>76</v>
      </c>
      <c r="F38" s="10" t="s">
        <v>77</v>
      </c>
      <c r="G38" s="10" t="s">
        <v>78</v>
      </c>
      <c r="H38" s="10" t="s">
        <v>19</v>
      </c>
      <c r="I38" s="10" t="s">
        <v>80</v>
      </c>
      <c r="J38" s="10" t="s">
        <v>112</v>
      </c>
    </row>
    <row r="39" spans="1:10">
      <c r="A39" s="10" t="s">
        <v>58</v>
      </c>
      <c r="B39" s="10" t="s">
        <v>60</v>
      </c>
      <c r="C39" s="10" t="s">
        <v>62</v>
      </c>
      <c r="D39" s="10" t="s">
        <v>90</v>
      </c>
      <c r="E39" s="10">
        <v>10</v>
      </c>
      <c r="F39" s="10">
        <v>83</v>
      </c>
      <c r="G39" s="10">
        <v>81</v>
      </c>
      <c r="H39" s="10">
        <v>80</v>
      </c>
      <c r="I39" s="10">
        <v>89</v>
      </c>
      <c r="J39" s="15">
        <v>0.60000000000000009</v>
      </c>
    </row>
    <row r="40" spans="1:10">
      <c r="A40" s="10" t="s">
        <v>57</v>
      </c>
      <c r="B40" s="10" t="s">
        <v>63</v>
      </c>
      <c r="C40" s="10" t="s">
        <v>69</v>
      </c>
      <c r="D40" s="10" t="s">
        <v>88</v>
      </c>
      <c r="E40" s="10">
        <v>30</v>
      </c>
      <c r="F40" s="10">
        <v>86</v>
      </c>
      <c r="G40" s="10">
        <v>73</v>
      </c>
      <c r="H40" s="10">
        <v>91</v>
      </c>
      <c r="I40" s="10">
        <v>96</v>
      </c>
      <c r="J40" s="15">
        <v>19.100000000000001</v>
      </c>
    </row>
    <row r="41" spans="1:10">
      <c r="A41" s="10" t="s">
        <v>57</v>
      </c>
      <c r="B41" s="10" t="s">
        <v>60</v>
      </c>
      <c r="C41" s="10" t="s">
        <v>62</v>
      </c>
      <c r="D41" s="10" t="s">
        <v>68</v>
      </c>
      <c r="E41" s="10">
        <v>26</v>
      </c>
      <c r="F41" s="10">
        <v>85</v>
      </c>
      <c r="G41" s="10">
        <v>93</v>
      </c>
      <c r="H41" s="10">
        <v>65</v>
      </c>
      <c r="I41" s="10">
        <v>98</v>
      </c>
      <c r="J41" s="15">
        <v>15</v>
      </c>
    </row>
    <row r="42" spans="1:10">
      <c r="A42" s="10" t="s">
        <v>57</v>
      </c>
      <c r="B42" s="10" t="s">
        <v>60</v>
      </c>
      <c r="C42" s="10" t="s">
        <v>96</v>
      </c>
      <c r="D42" s="10" t="s">
        <v>100</v>
      </c>
      <c r="E42" s="10">
        <v>23</v>
      </c>
      <c r="F42" s="10">
        <v>72</v>
      </c>
      <c r="G42" s="10">
        <v>62</v>
      </c>
      <c r="H42" s="10">
        <v>89</v>
      </c>
      <c r="I42" s="10">
        <v>66</v>
      </c>
      <c r="J42" s="15">
        <v>14.3</v>
      </c>
    </row>
    <row r="43" spans="1:10">
      <c r="A43" s="10" t="s">
        <v>58</v>
      </c>
      <c r="B43" s="10" t="s">
        <v>64</v>
      </c>
      <c r="C43" s="10" t="s">
        <v>74</v>
      </c>
      <c r="D43" s="10" t="s">
        <v>87</v>
      </c>
      <c r="E43" s="10">
        <v>22</v>
      </c>
      <c r="F43" s="10">
        <v>82</v>
      </c>
      <c r="G43" s="10">
        <v>85</v>
      </c>
      <c r="H43" s="10">
        <v>95</v>
      </c>
      <c r="I43" s="10">
        <v>67</v>
      </c>
      <c r="J43" s="15">
        <v>0.30000000000000004</v>
      </c>
    </row>
    <row r="44" spans="1:10">
      <c r="A44" s="10" t="s">
        <v>58</v>
      </c>
      <c r="B44" s="10" t="s">
        <v>60</v>
      </c>
      <c r="C44" s="10" t="s">
        <v>71</v>
      </c>
      <c r="D44" s="10" t="s">
        <v>72</v>
      </c>
      <c r="E44" s="10">
        <v>19</v>
      </c>
      <c r="F44" s="10">
        <v>96</v>
      </c>
      <c r="G44" s="10">
        <v>99</v>
      </c>
      <c r="H44" s="10">
        <v>97</v>
      </c>
      <c r="I44" s="10">
        <v>94</v>
      </c>
      <c r="J44" s="15">
        <v>0.89999999999999991</v>
      </c>
    </row>
  </sheetData>
  <sortState ref="A3:J33">
    <sortCondition ref="F3"/>
  </sortState>
  <phoneticPr fontId="1" type="noConversion"/>
  <conditionalFormatting sqref="A3:J33">
    <cfRule type="expression" dxfId="1" priority="1">
      <formula>AND($F3&gt;=PERCENTILE($F$3:$F$33,0.7),$F3&lt;=PERCENTILE($F$3:$F$33,0.9))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Header>&amp;L&amp;A</oddHeader>
    <oddFooter>&amp;R&amp;P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M29"/>
  <sheetViews>
    <sheetView workbookViewId="0"/>
  </sheetViews>
  <sheetFormatPr defaultRowHeight="16.5"/>
  <cols>
    <col min="2" max="2" width="13.875" bestFit="1" customWidth="1"/>
    <col min="4" max="4" width="8.25" customWidth="1"/>
    <col min="5" max="5" width="11.625" customWidth="1"/>
    <col min="8" max="8" width="11" bestFit="1" customWidth="1"/>
    <col min="9" max="9" width="4.125" customWidth="1"/>
    <col min="10" max="10" width="14.25" customWidth="1"/>
    <col min="11" max="11" width="13.875" bestFit="1" customWidth="1"/>
  </cols>
  <sheetData>
    <row r="2" spans="1:12">
      <c r="A2" t="s">
        <v>0</v>
      </c>
      <c r="J2" t="s">
        <v>135</v>
      </c>
    </row>
    <row r="3" spans="1:12">
      <c r="A3" s="11" t="s">
        <v>1</v>
      </c>
      <c r="B3" s="10" t="s">
        <v>2</v>
      </c>
      <c r="C3" s="10" t="s">
        <v>3</v>
      </c>
      <c r="D3" s="10" t="s">
        <v>4</v>
      </c>
      <c r="E3" s="10" t="s">
        <v>55</v>
      </c>
      <c r="F3" s="11" t="s">
        <v>5</v>
      </c>
      <c r="G3" s="10" t="s">
        <v>27</v>
      </c>
      <c r="H3" s="11" t="s">
        <v>133</v>
      </c>
      <c r="J3" s="10" t="s">
        <v>2</v>
      </c>
      <c r="K3" s="10" t="s">
        <v>18</v>
      </c>
    </row>
    <row r="4" spans="1:12">
      <c r="A4" s="6" t="str">
        <f>CONCATENATE(ROW()-3,"-",VLOOKUP(B4,$J$4:$K$9,2,FALSE))</f>
        <v>1-W</v>
      </c>
      <c r="B4" s="6" t="s">
        <v>7</v>
      </c>
      <c r="C4" s="1" t="s">
        <v>29</v>
      </c>
      <c r="D4" s="6" t="s">
        <v>24</v>
      </c>
      <c r="E4" s="8">
        <v>40305</v>
      </c>
      <c r="F4" s="6" t="str">
        <f>fn소속(E4)</f>
        <v>초등부</v>
      </c>
      <c r="G4" s="7">
        <v>97</v>
      </c>
      <c r="H4" s="7">
        <f t="array" ref="H4">SUM(IF(($B$4:$B$27=B4)*($G$4:$G$27&gt;G4),1))+1</f>
        <v>2</v>
      </c>
      <c r="J4" s="10" t="s">
        <v>6</v>
      </c>
      <c r="K4" s="10" t="s">
        <v>14</v>
      </c>
    </row>
    <row r="5" spans="1:12">
      <c r="A5" s="6" t="str">
        <f t="shared" ref="A5:A27" si="0">CONCATENATE(ROW()-3,"-",VLOOKUP(B5,$J$4:$K$9,2,FALSE))</f>
        <v>2-C</v>
      </c>
      <c r="B5" s="6" t="s">
        <v>12</v>
      </c>
      <c r="C5" s="1" t="s">
        <v>30</v>
      </c>
      <c r="D5" s="6" t="s">
        <v>22</v>
      </c>
      <c r="E5" s="8">
        <v>39928</v>
      </c>
      <c r="F5" s="6" t="str">
        <f t="shared" ref="F5:F27" si="1">fn소속(E5)</f>
        <v>소년부</v>
      </c>
      <c r="G5" s="7">
        <v>65</v>
      </c>
      <c r="H5" s="7">
        <f t="array" ref="H5">SUM(IF(($B$4:$B$27=B5)*($G$4:$G$27&gt;G5),1))+1</f>
        <v>6</v>
      </c>
      <c r="J5" s="10" t="s">
        <v>7</v>
      </c>
      <c r="K5" s="10" t="s">
        <v>15</v>
      </c>
    </row>
    <row r="6" spans="1:12">
      <c r="A6" s="6" t="str">
        <f t="shared" si="0"/>
        <v>3-D</v>
      </c>
      <c r="B6" s="6" t="s">
        <v>6</v>
      </c>
      <c r="C6" s="1" t="s">
        <v>31</v>
      </c>
      <c r="D6" s="6" t="s">
        <v>22</v>
      </c>
      <c r="E6" s="5">
        <v>39668</v>
      </c>
      <c r="F6" s="6" t="str">
        <f t="shared" si="1"/>
        <v>소년부</v>
      </c>
      <c r="G6" s="7">
        <v>84</v>
      </c>
      <c r="H6" s="7">
        <f t="array" ref="H6">SUM(IF(($B$4:$B$27=B6)*($G$4:$G$27&gt;G6),1))+1</f>
        <v>5</v>
      </c>
      <c r="J6" s="10" t="s">
        <v>8</v>
      </c>
      <c r="K6" s="10" t="s">
        <v>9</v>
      </c>
    </row>
    <row r="7" spans="1:12">
      <c r="A7" s="6" t="str">
        <f t="shared" si="0"/>
        <v>4-F</v>
      </c>
      <c r="B7" s="6" t="s">
        <v>16</v>
      </c>
      <c r="C7" s="1" t="s">
        <v>32</v>
      </c>
      <c r="D7" s="6" t="s">
        <v>24</v>
      </c>
      <c r="E7" s="5">
        <v>40380</v>
      </c>
      <c r="F7" s="6" t="str">
        <f t="shared" si="1"/>
        <v>초등부</v>
      </c>
      <c r="G7" s="7">
        <v>78</v>
      </c>
      <c r="H7" s="7">
        <f t="array" ref="H7">SUM(IF(($B$4:$B$27=B7)*($G$4:$G$27&gt;G7),1))+1</f>
        <v>4</v>
      </c>
      <c r="J7" s="10" t="s">
        <v>11</v>
      </c>
      <c r="K7" s="10" t="s">
        <v>10</v>
      </c>
    </row>
    <row r="8" spans="1:12">
      <c r="A8" s="6" t="str">
        <f t="shared" si="0"/>
        <v>5-C</v>
      </c>
      <c r="B8" s="6" t="s">
        <v>12</v>
      </c>
      <c r="C8" s="1" t="s">
        <v>33</v>
      </c>
      <c r="D8" s="6" t="s">
        <v>22</v>
      </c>
      <c r="E8" s="5">
        <v>40787</v>
      </c>
      <c r="F8" s="6" t="str">
        <f t="shared" si="1"/>
        <v>유년부</v>
      </c>
      <c r="G8" s="7">
        <v>88</v>
      </c>
      <c r="H8" s="7">
        <f t="array" ref="H8">SUM(IF(($B$4:$B$27=B8)*($G$4:$G$27&gt;G8),1))+1</f>
        <v>4</v>
      </c>
      <c r="J8" s="10" t="s">
        <v>12</v>
      </c>
      <c r="K8" s="10" t="s">
        <v>13</v>
      </c>
    </row>
    <row r="9" spans="1:12">
      <c r="A9" s="6" t="str">
        <f t="shared" si="0"/>
        <v>6-W</v>
      </c>
      <c r="B9" s="6" t="s">
        <v>7</v>
      </c>
      <c r="C9" s="1" t="s">
        <v>34</v>
      </c>
      <c r="D9" s="6" t="s">
        <v>24</v>
      </c>
      <c r="E9" s="5">
        <v>40422</v>
      </c>
      <c r="F9" s="6" t="str">
        <f t="shared" si="1"/>
        <v>초등부</v>
      </c>
      <c r="G9" s="7">
        <v>98</v>
      </c>
      <c r="H9" s="7">
        <f t="array" ref="H9">SUM(IF(($B$4:$B$27=B9)*($G$4:$G$27&gt;G9),1))+1</f>
        <v>1</v>
      </c>
      <c r="J9" s="10" t="s">
        <v>16</v>
      </c>
      <c r="K9" s="10" t="s">
        <v>17</v>
      </c>
    </row>
    <row r="10" spans="1:12">
      <c r="A10" s="6" t="str">
        <f t="shared" si="0"/>
        <v>7-F</v>
      </c>
      <c r="B10" s="6" t="s">
        <v>16</v>
      </c>
      <c r="C10" s="1" t="s">
        <v>35</v>
      </c>
      <c r="D10" s="6" t="s">
        <v>50</v>
      </c>
      <c r="E10" s="5">
        <v>41154</v>
      </c>
      <c r="F10" s="6" t="str">
        <f t="shared" si="1"/>
        <v>유년부</v>
      </c>
      <c r="G10" s="7">
        <v>96</v>
      </c>
      <c r="H10" s="7">
        <f t="array" ref="H10">SUM(IF(($B$4:$B$27=B10)*($G$4:$G$27&gt;G10),1))+1</f>
        <v>1</v>
      </c>
    </row>
    <row r="11" spans="1:12">
      <c r="A11" s="6" t="str">
        <f t="shared" si="0"/>
        <v>8-C</v>
      </c>
      <c r="B11" s="6" t="s">
        <v>12</v>
      </c>
      <c r="C11" s="1" t="s">
        <v>54</v>
      </c>
      <c r="D11" s="6" t="s">
        <v>24</v>
      </c>
      <c r="E11" s="5">
        <v>39874</v>
      </c>
      <c r="F11" s="6" t="str">
        <f t="shared" si="1"/>
        <v>소년부</v>
      </c>
      <c r="G11" s="7">
        <v>90</v>
      </c>
      <c r="H11" s="7">
        <f t="array" ref="H11">SUM(IF(($B$4:$B$27=B11)*($G$4:$G$27&gt;G11),1))+1</f>
        <v>2</v>
      </c>
      <c r="J11" t="s">
        <v>134</v>
      </c>
    </row>
    <row r="12" spans="1:12">
      <c r="A12" s="6" t="str">
        <f t="shared" si="0"/>
        <v>9-D</v>
      </c>
      <c r="B12" s="6" t="s">
        <v>6</v>
      </c>
      <c r="C12" s="2" t="s">
        <v>36</v>
      </c>
      <c r="D12" s="6" t="s">
        <v>50</v>
      </c>
      <c r="E12" s="5">
        <v>39854</v>
      </c>
      <c r="F12" s="6" t="str">
        <f t="shared" si="1"/>
        <v>소년부</v>
      </c>
      <c r="G12" s="7">
        <v>89</v>
      </c>
      <c r="H12" s="7">
        <f t="array" ref="H12">SUM(IF(($B$4:$B$27=B12)*($G$4:$G$27&gt;G12),1))+1</f>
        <v>3</v>
      </c>
      <c r="J12" s="10" t="s">
        <v>23</v>
      </c>
      <c r="K12" s="11" t="s">
        <v>22</v>
      </c>
      <c r="L12" s="11" t="s">
        <v>24</v>
      </c>
    </row>
    <row r="13" spans="1:12">
      <c r="A13" s="6" t="str">
        <f t="shared" si="0"/>
        <v>10-F</v>
      </c>
      <c r="B13" s="6" t="s">
        <v>16</v>
      </c>
      <c r="C13" s="2" t="s">
        <v>37</v>
      </c>
      <c r="D13" s="6" t="s">
        <v>22</v>
      </c>
      <c r="E13" s="9">
        <v>39741</v>
      </c>
      <c r="F13" s="6" t="str">
        <f t="shared" si="1"/>
        <v>소년부</v>
      </c>
      <c r="G13" s="7">
        <v>87</v>
      </c>
      <c r="H13" s="7">
        <f t="array" ref="H13">SUM(IF(($B$4:$B$27=B13)*($G$4:$G$27&gt;G13),1))+1</f>
        <v>3</v>
      </c>
      <c r="J13" s="10" t="s">
        <v>19</v>
      </c>
      <c r="K13" s="10">
        <f t="array" ref="K13">COUNT(IF((RIGHT($B$4:$B$27,2)=$J13)*($D$4:$D$27=K$12),1))</f>
        <v>3</v>
      </c>
      <c r="L13" s="10">
        <f t="array" ref="L13">COUNT(IF((RIGHT($B$4:$B$27,2)=$J13)*($D$4:$D$27=L$12),1))</f>
        <v>5</v>
      </c>
    </row>
    <row r="14" spans="1:12">
      <c r="A14" s="6" t="str">
        <f t="shared" si="0"/>
        <v>11-C</v>
      </c>
      <c r="B14" s="6" t="s">
        <v>12</v>
      </c>
      <c r="C14" s="2" t="s">
        <v>38</v>
      </c>
      <c r="D14" s="6" t="s">
        <v>24</v>
      </c>
      <c r="E14" s="9">
        <v>39742</v>
      </c>
      <c r="F14" s="6" t="str">
        <f t="shared" si="1"/>
        <v>소년부</v>
      </c>
      <c r="G14" s="7">
        <v>89</v>
      </c>
      <c r="H14" s="7">
        <f t="array" ref="H14">SUM(IF(($B$4:$B$27=B14)*($G$4:$G$27&gt;G14),1))+1</f>
        <v>3</v>
      </c>
      <c r="J14" s="10" t="s">
        <v>20</v>
      </c>
      <c r="K14" s="10">
        <f t="array" ref="K14">COUNT(IF((RIGHT($B$4:$B$27,2)=$J14)*($D$4:$D$27=K$12),1))</f>
        <v>5</v>
      </c>
      <c r="L14" s="10">
        <f t="array" ref="L14">COUNT(IF((RIGHT($B$4:$B$27,2)=$J14)*($D$4:$D$27=L$12),1))</f>
        <v>6</v>
      </c>
    </row>
    <row r="15" spans="1:12">
      <c r="A15" s="6" t="str">
        <f t="shared" si="0"/>
        <v>12-D</v>
      </c>
      <c r="B15" s="6" t="s">
        <v>6</v>
      </c>
      <c r="C15" s="2" t="s">
        <v>39</v>
      </c>
      <c r="D15" s="6" t="s">
        <v>24</v>
      </c>
      <c r="E15" s="9">
        <v>40838</v>
      </c>
      <c r="F15" s="6" t="str">
        <f t="shared" si="1"/>
        <v>유년부</v>
      </c>
      <c r="G15" s="7">
        <v>93</v>
      </c>
      <c r="H15" s="7">
        <f t="array" ref="H15">SUM(IF(($B$4:$B$27=B15)*($G$4:$G$27&gt;G15),1))+1</f>
        <v>2</v>
      </c>
      <c r="J15" s="10" t="s">
        <v>21</v>
      </c>
      <c r="K15" s="10">
        <f t="array" ref="K15">COUNT(IF((RIGHT($B$4:$B$27,2)=$J15)*($D$4:$D$27=K$12),1))</f>
        <v>3</v>
      </c>
      <c r="L15" s="10">
        <f t="array" ref="L15">COUNT(IF((RIGHT($B$4:$B$27,2)=$J15)*($D$4:$D$27=L$12),1))</f>
        <v>2</v>
      </c>
    </row>
    <row r="16" spans="1:12">
      <c r="A16" s="6" t="str">
        <f t="shared" si="0"/>
        <v>13-W</v>
      </c>
      <c r="B16" s="6" t="s">
        <v>7</v>
      </c>
      <c r="C16" s="2" t="s">
        <v>40</v>
      </c>
      <c r="D16" s="6" t="s">
        <v>24</v>
      </c>
      <c r="E16" s="9">
        <v>40257</v>
      </c>
      <c r="F16" s="6" t="str">
        <f t="shared" si="1"/>
        <v>초등부</v>
      </c>
      <c r="G16" s="7">
        <v>94</v>
      </c>
      <c r="H16" s="7">
        <f t="array" ref="H16">SUM(IF(($B$4:$B$27=B16)*($G$4:$G$27&gt;G16),1))+1</f>
        <v>4</v>
      </c>
    </row>
    <row r="17" spans="1:13">
      <c r="A17" s="6" t="str">
        <f t="shared" si="0"/>
        <v>14-S</v>
      </c>
      <c r="B17" s="6" t="s">
        <v>8</v>
      </c>
      <c r="C17" s="2" t="s">
        <v>41</v>
      </c>
      <c r="D17" s="6" t="s">
        <v>22</v>
      </c>
      <c r="E17" s="9">
        <v>40258</v>
      </c>
      <c r="F17" s="6" t="str">
        <f t="shared" si="1"/>
        <v>초등부</v>
      </c>
      <c r="G17" s="7">
        <v>78</v>
      </c>
      <c r="H17" s="7">
        <f t="array" ref="H17">SUM(IF(($B$4:$B$27=B17)*($G$4:$G$27&gt;G17),1))+1</f>
        <v>3</v>
      </c>
      <c r="J17" t="s">
        <v>136</v>
      </c>
    </row>
    <row r="18" spans="1:13">
      <c r="A18" s="6" t="str">
        <f t="shared" si="0"/>
        <v>15-C</v>
      </c>
      <c r="B18" s="6" t="s">
        <v>12</v>
      </c>
      <c r="C18" s="2" t="s">
        <v>42</v>
      </c>
      <c r="D18" s="6" t="s">
        <v>51</v>
      </c>
      <c r="E18" s="9">
        <v>39894</v>
      </c>
      <c r="F18" s="6" t="str">
        <f t="shared" si="1"/>
        <v>소년부</v>
      </c>
      <c r="G18" s="7">
        <v>85</v>
      </c>
      <c r="H18" s="7">
        <f t="array" ref="H18">SUM(IF(($B$4:$B$27=B18)*($G$4:$G$27&gt;G18),1))+1</f>
        <v>5</v>
      </c>
      <c r="J18" s="10" t="s">
        <v>28</v>
      </c>
      <c r="K18" s="11" t="s">
        <v>25</v>
      </c>
      <c r="L18" s="11" t="s">
        <v>26</v>
      </c>
      <c r="M18" s="11" t="s">
        <v>27</v>
      </c>
    </row>
    <row r="19" spans="1:13">
      <c r="A19" s="6" t="str">
        <f t="shared" si="0"/>
        <v>16-D</v>
      </c>
      <c r="B19" s="6" t="s">
        <v>6</v>
      </c>
      <c r="C19" s="2" t="s">
        <v>43</v>
      </c>
      <c r="D19" s="6" t="s">
        <v>51</v>
      </c>
      <c r="E19" s="9">
        <v>40625</v>
      </c>
      <c r="F19" s="6" t="str">
        <f t="shared" si="1"/>
        <v>유년부</v>
      </c>
      <c r="G19" s="7">
        <v>99</v>
      </c>
      <c r="H19" s="7">
        <f t="array" ref="H19">SUM(IF(($B$4:$B$27=B19)*($G$4:$G$27&gt;G19),1))+1</f>
        <v>1</v>
      </c>
      <c r="J19" s="2" t="s">
        <v>41</v>
      </c>
      <c r="K19" s="10" t="str">
        <f>INDEX($A$4:$H$27,MATCH($J19,$C$4:$C$27,0),MATCH(K$18,$A$3:$H$3,0))</f>
        <v>독창-음악</v>
      </c>
      <c r="L19" s="10" t="str">
        <f t="shared" ref="L19:M19" si="2">INDEX($A$4:$H$27,MATCH($J19,$C$4:$C$27,0),MATCH(L$18,$A$3:$H$3,0))</f>
        <v>남</v>
      </c>
      <c r="M19" s="10">
        <f t="shared" si="2"/>
        <v>78</v>
      </c>
    </row>
    <row r="20" spans="1:13">
      <c r="A20" s="6" t="str">
        <f t="shared" si="0"/>
        <v>17-F</v>
      </c>
      <c r="B20" s="6" t="s">
        <v>16</v>
      </c>
      <c r="C20" s="2" t="s">
        <v>44</v>
      </c>
      <c r="D20" s="6" t="s">
        <v>50</v>
      </c>
      <c r="E20" s="3">
        <v>40180</v>
      </c>
      <c r="F20" s="6" t="str">
        <f t="shared" si="1"/>
        <v>초등부</v>
      </c>
      <c r="G20" s="7">
        <v>93</v>
      </c>
      <c r="H20" s="7">
        <f t="array" ref="H20">SUM(IF(($B$4:$B$27=B20)*($G$4:$G$27&gt;G20),1))+1</f>
        <v>2</v>
      </c>
      <c r="J20" s="2" t="s">
        <v>43</v>
      </c>
      <c r="K20" s="10" t="str">
        <f t="shared" ref="K20:M24" si="3">INDEX($A$4:$H$27,MATCH($J20,$C$4:$C$27,0),MATCH(K$18,$A$3:$H$3,0))</f>
        <v>그리기-미술</v>
      </c>
      <c r="L20" s="10" t="str">
        <f t="shared" si="3"/>
        <v>여</v>
      </c>
      <c r="M20" s="10">
        <f t="shared" si="3"/>
        <v>99</v>
      </c>
    </row>
    <row r="21" spans="1:13">
      <c r="A21" s="6" t="str">
        <f t="shared" si="0"/>
        <v>18-S</v>
      </c>
      <c r="B21" s="6" t="s">
        <v>8</v>
      </c>
      <c r="C21" s="2" t="s">
        <v>45</v>
      </c>
      <c r="D21" s="6" t="s">
        <v>24</v>
      </c>
      <c r="E21" s="3">
        <v>40181</v>
      </c>
      <c r="F21" s="6" t="str">
        <f t="shared" si="1"/>
        <v>초등부</v>
      </c>
      <c r="G21" s="7">
        <v>89</v>
      </c>
      <c r="H21" s="7">
        <f t="array" ref="H21">SUM(IF(($B$4:$B$27=B21)*($G$4:$G$27&gt;G21),1))+1</f>
        <v>1</v>
      </c>
      <c r="J21" s="1" t="s">
        <v>35</v>
      </c>
      <c r="K21" s="10" t="str">
        <f t="shared" si="3"/>
        <v>구연동화-국어</v>
      </c>
      <c r="L21" s="10" t="str">
        <f t="shared" si="3"/>
        <v>남</v>
      </c>
      <c r="M21" s="10">
        <f t="shared" si="3"/>
        <v>96</v>
      </c>
    </row>
    <row r="22" spans="1:13">
      <c r="A22" s="6" t="str">
        <f t="shared" si="0"/>
        <v>19-P</v>
      </c>
      <c r="B22" s="6" t="s">
        <v>11</v>
      </c>
      <c r="C22" s="2" t="s">
        <v>46</v>
      </c>
      <c r="D22" s="6" t="s">
        <v>22</v>
      </c>
      <c r="E22" s="3">
        <v>39451</v>
      </c>
      <c r="F22" s="6" t="str">
        <f t="shared" si="1"/>
        <v>소년부</v>
      </c>
      <c r="G22" s="7">
        <v>87</v>
      </c>
      <c r="H22" s="7">
        <f t="array" ref="H22">SUM(IF(($B$4:$B$27=B22)*($G$4:$G$27&gt;G22),1))+1</f>
        <v>1</v>
      </c>
      <c r="J22" s="1" t="s">
        <v>29</v>
      </c>
      <c r="K22" s="10" t="str">
        <f t="shared" si="3"/>
        <v>글짓기-국어</v>
      </c>
      <c r="L22" s="10" t="str">
        <f t="shared" si="3"/>
        <v>여</v>
      </c>
      <c r="M22" s="10">
        <f t="shared" si="3"/>
        <v>97</v>
      </c>
    </row>
    <row r="23" spans="1:13">
      <c r="A23" s="6" t="str">
        <f t="shared" si="0"/>
        <v>20-W</v>
      </c>
      <c r="B23" s="6" t="s">
        <v>7</v>
      </c>
      <c r="C23" s="2" t="s">
        <v>53</v>
      </c>
      <c r="D23" s="6" t="s">
        <v>24</v>
      </c>
      <c r="E23" s="3">
        <v>39452</v>
      </c>
      <c r="F23" s="6" t="str">
        <f t="shared" si="1"/>
        <v>소년부</v>
      </c>
      <c r="G23" s="7">
        <v>95</v>
      </c>
      <c r="H23" s="7">
        <f t="array" ref="H23">SUM(IF(($B$4:$B$27=B23)*($G$4:$G$27&gt;G23),1))+1</f>
        <v>3</v>
      </c>
      <c r="J23" s="2" t="s">
        <v>49</v>
      </c>
      <c r="K23" s="10" t="str">
        <f t="shared" si="3"/>
        <v>합창-음악</v>
      </c>
      <c r="L23" s="10" t="str">
        <f t="shared" si="3"/>
        <v>여</v>
      </c>
      <c r="M23" s="10">
        <f t="shared" si="3"/>
        <v>97</v>
      </c>
    </row>
    <row r="24" spans="1:13">
      <c r="A24" s="6" t="str">
        <f t="shared" si="0"/>
        <v>21-S</v>
      </c>
      <c r="B24" s="6" t="s">
        <v>8</v>
      </c>
      <c r="C24" s="2" t="s">
        <v>47</v>
      </c>
      <c r="D24" s="6" t="s">
        <v>22</v>
      </c>
      <c r="E24" s="3">
        <v>39819</v>
      </c>
      <c r="F24" s="6" t="str">
        <f t="shared" si="1"/>
        <v>소년부</v>
      </c>
      <c r="G24" s="7">
        <v>68</v>
      </c>
      <c r="H24" s="7">
        <f t="array" ref="H24">SUM(IF(($B$4:$B$27=B24)*($G$4:$G$27&gt;G24),1))+1</f>
        <v>4</v>
      </c>
      <c r="J24" s="2" t="s">
        <v>40</v>
      </c>
      <c r="K24" s="10" t="str">
        <f t="shared" si="3"/>
        <v>글짓기-국어</v>
      </c>
      <c r="L24" s="10" t="str">
        <f t="shared" si="3"/>
        <v>여</v>
      </c>
      <c r="M24" s="10">
        <f t="shared" si="3"/>
        <v>94</v>
      </c>
    </row>
    <row r="25" spans="1:13">
      <c r="A25" s="6" t="str">
        <f t="shared" si="0"/>
        <v>22-D</v>
      </c>
      <c r="B25" s="6" t="s">
        <v>6</v>
      </c>
      <c r="C25" s="2" t="s">
        <v>48</v>
      </c>
      <c r="D25" s="6" t="s">
        <v>22</v>
      </c>
      <c r="E25" s="3">
        <v>40185</v>
      </c>
      <c r="F25" s="6" t="str">
        <f t="shared" si="1"/>
        <v>초등부</v>
      </c>
      <c r="G25" s="7">
        <v>88</v>
      </c>
      <c r="H25" s="7">
        <f t="array" ref="H25">SUM(IF(($B$4:$B$27=B25)*($G$4:$G$27&gt;G25),1))+1</f>
        <v>4</v>
      </c>
    </row>
    <row r="26" spans="1:13">
      <c r="A26" s="6" t="str">
        <f t="shared" si="0"/>
        <v>23-C</v>
      </c>
      <c r="B26" s="6" t="s">
        <v>12</v>
      </c>
      <c r="C26" s="2" t="s">
        <v>49</v>
      </c>
      <c r="D26" s="6" t="s">
        <v>24</v>
      </c>
      <c r="E26" s="3">
        <v>40551</v>
      </c>
      <c r="F26" s="6" t="str">
        <f t="shared" si="1"/>
        <v>유년부</v>
      </c>
      <c r="G26" s="7">
        <v>97</v>
      </c>
      <c r="H26" s="7">
        <f t="array" ref="H26">SUM(IF(($B$4:$B$27=B26)*($G$4:$G$27&gt;G26),1))+1</f>
        <v>1</v>
      </c>
    </row>
    <row r="27" spans="1:13">
      <c r="A27" s="6" t="str">
        <f t="shared" si="0"/>
        <v>24-S</v>
      </c>
      <c r="B27" s="6" t="s">
        <v>8</v>
      </c>
      <c r="C27" s="2" t="s">
        <v>52</v>
      </c>
      <c r="D27" s="6" t="s">
        <v>24</v>
      </c>
      <c r="E27" s="3">
        <v>40917</v>
      </c>
      <c r="F27" s="6" t="str">
        <f t="shared" si="1"/>
        <v>유년부</v>
      </c>
      <c r="G27" s="7">
        <v>87</v>
      </c>
      <c r="H27" s="7">
        <f t="array" ref="H27">SUM(IF(($B$4:$B$27=B27)*($G$4:$G$27&gt;G27),1))+1</f>
        <v>2</v>
      </c>
    </row>
    <row r="28" spans="1:13">
      <c r="A28" s="4"/>
      <c r="B28" s="4"/>
      <c r="C28" s="4"/>
      <c r="D28" s="4"/>
      <c r="E28" s="4"/>
      <c r="F28" s="4"/>
      <c r="G28" s="4"/>
      <c r="H28" s="4"/>
    </row>
    <row r="29" spans="1:13">
      <c r="K29" s="19"/>
    </row>
  </sheetData>
  <phoneticPr fontId="1" type="noConversion"/>
  <conditionalFormatting sqref="E6:E12">
    <cfRule type="expression" dxfId="0" priority="1">
      <formula>(YEAR($C6)=2013)+(YEAR($C6)=2014)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3"/>
  <sheetViews>
    <sheetView workbookViewId="0"/>
  </sheetViews>
  <sheetFormatPr defaultRowHeight="16.5"/>
  <cols>
    <col min="3" max="3" width="13.875" bestFit="1" customWidth="1"/>
    <col min="4" max="4" width="17.25" bestFit="1" customWidth="1"/>
    <col min="12" max="12" width="13.875" customWidth="1"/>
    <col min="13" max="13" width="13" customWidth="1"/>
    <col min="14" max="17" width="11.125" customWidth="1"/>
    <col min="18" max="21" width="15.875" customWidth="1"/>
    <col min="22" max="36" width="17.5" bestFit="1" customWidth="1"/>
    <col min="37" max="37" width="17.5" customWidth="1"/>
    <col min="38" max="128" width="17.5" bestFit="1" customWidth="1"/>
    <col min="129" max="132" width="15.875" bestFit="1" customWidth="1"/>
  </cols>
  <sheetData>
    <row r="1" spans="1:17">
      <c r="A1" t="s">
        <v>132</v>
      </c>
      <c r="L1" s="36" t="s">
        <v>143</v>
      </c>
      <c r="M1" t="s">
        <v>172</v>
      </c>
    </row>
    <row r="2" spans="1:17">
      <c r="A2" s="10" t="s">
        <v>56</v>
      </c>
      <c r="B2" s="10" t="s">
        <v>59</v>
      </c>
      <c r="C2" s="10" t="s">
        <v>61</v>
      </c>
      <c r="D2" s="10" t="s">
        <v>75</v>
      </c>
      <c r="E2" s="10" t="s">
        <v>76</v>
      </c>
      <c r="F2" s="10" t="s">
        <v>77</v>
      </c>
      <c r="G2" s="10" t="s">
        <v>78</v>
      </c>
      <c r="H2" s="10" t="s">
        <v>19</v>
      </c>
      <c r="I2" s="10" t="s">
        <v>80</v>
      </c>
      <c r="J2" s="10" t="s">
        <v>112</v>
      </c>
    </row>
    <row r="3" spans="1:17">
      <c r="A3" s="10" t="s">
        <v>58</v>
      </c>
      <c r="B3" s="10" t="s">
        <v>60</v>
      </c>
      <c r="C3" s="10" t="s">
        <v>62</v>
      </c>
      <c r="D3" s="10" t="s">
        <v>65</v>
      </c>
      <c r="E3" s="10">
        <v>16</v>
      </c>
      <c r="F3" s="10">
        <v>85</v>
      </c>
      <c r="G3" s="10">
        <v>93</v>
      </c>
      <c r="H3" s="10">
        <v>98</v>
      </c>
      <c r="I3" s="10">
        <v>65</v>
      </c>
      <c r="J3" s="15">
        <v>3</v>
      </c>
      <c r="L3" s="36" t="s">
        <v>170</v>
      </c>
      <c r="M3" s="36" t="s">
        <v>171</v>
      </c>
      <c r="N3" t="s">
        <v>166</v>
      </c>
      <c r="O3" t="s">
        <v>167</v>
      </c>
      <c r="P3" t="s">
        <v>168</v>
      </c>
      <c r="Q3" t="s">
        <v>169</v>
      </c>
    </row>
    <row r="4" spans="1:17">
      <c r="A4" s="10" t="s">
        <v>58</v>
      </c>
      <c r="B4" s="10" t="s">
        <v>60</v>
      </c>
      <c r="C4" s="10" t="s">
        <v>62</v>
      </c>
      <c r="D4" s="10" t="s">
        <v>90</v>
      </c>
      <c r="E4" s="10">
        <v>10</v>
      </c>
      <c r="F4" s="10">
        <v>83</v>
      </c>
      <c r="G4" s="10">
        <v>81</v>
      </c>
      <c r="H4" s="10">
        <v>80</v>
      </c>
      <c r="I4" s="10">
        <v>89</v>
      </c>
      <c r="J4" s="15">
        <v>0.60000000000000009</v>
      </c>
      <c r="L4" t="s">
        <v>164</v>
      </c>
      <c r="N4" s="37">
        <v>76.8</v>
      </c>
      <c r="O4" s="37">
        <v>78.266666666666666</v>
      </c>
      <c r="P4" s="37">
        <v>80</v>
      </c>
      <c r="Q4" s="37">
        <v>78.066666666666663</v>
      </c>
    </row>
    <row r="5" spans="1:17">
      <c r="A5" s="10" t="s">
        <v>57</v>
      </c>
      <c r="B5" s="10" t="s">
        <v>63</v>
      </c>
      <c r="C5" s="10" t="s">
        <v>70</v>
      </c>
      <c r="D5" s="10" t="s">
        <v>83</v>
      </c>
      <c r="E5" s="10">
        <v>28</v>
      </c>
      <c r="F5" s="10">
        <v>84</v>
      </c>
      <c r="G5" s="10">
        <v>79</v>
      </c>
      <c r="H5" s="10">
        <v>98</v>
      </c>
      <c r="I5" s="10">
        <v>75</v>
      </c>
      <c r="J5" s="15">
        <v>10.8</v>
      </c>
      <c r="M5" t="s">
        <v>157</v>
      </c>
      <c r="N5" s="37">
        <v>70.75</v>
      </c>
      <c r="O5" s="37">
        <v>85</v>
      </c>
      <c r="P5" s="37">
        <v>83.25</v>
      </c>
      <c r="Q5" s="37">
        <v>79.5</v>
      </c>
    </row>
    <row r="6" spans="1:17">
      <c r="A6" s="10" t="s">
        <v>57</v>
      </c>
      <c r="B6" s="10" t="s">
        <v>60</v>
      </c>
      <c r="C6" s="10" t="s">
        <v>71</v>
      </c>
      <c r="D6" s="10" t="s">
        <v>73</v>
      </c>
      <c r="E6" s="10">
        <v>18</v>
      </c>
      <c r="F6" s="10">
        <v>81</v>
      </c>
      <c r="G6" s="10">
        <v>98</v>
      </c>
      <c r="H6" s="10">
        <v>71</v>
      </c>
      <c r="I6" s="10">
        <v>74</v>
      </c>
      <c r="J6" s="15">
        <v>14.100000000000001</v>
      </c>
      <c r="M6" t="s">
        <v>158</v>
      </c>
      <c r="N6" s="37">
        <v>98</v>
      </c>
      <c r="O6" s="37">
        <v>75</v>
      </c>
      <c r="P6" s="37">
        <v>82.5</v>
      </c>
      <c r="Q6" s="37">
        <v>85</v>
      </c>
    </row>
    <row r="7" spans="1:17">
      <c r="A7" s="10" t="s">
        <v>58</v>
      </c>
      <c r="B7" s="10" t="s">
        <v>60</v>
      </c>
      <c r="C7" s="10" t="s">
        <v>62</v>
      </c>
      <c r="D7" s="10" t="s">
        <v>105</v>
      </c>
      <c r="E7" s="10">
        <v>14</v>
      </c>
      <c r="F7" s="10">
        <v>78</v>
      </c>
      <c r="G7" s="10">
        <v>82</v>
      </c>
      <c r="H7" s="10">
        <v>88</v>
      </c>
      <c r="I7" s="10">
        <v>64</v>
      </c>
      <c r="J7" s="15">
        <v>12</v>
      </c>
      <c r="M7" t="s">
        <v>159</v>
      </c>
      <c r="N7" s="37">
        <v>75.5</v>
      </c>
      <c r="O7" s="37">
        <v>68.5</v>
      </c>
      <c r="P7" s="37">
        <v>65</v>
      </c>
      <c r="Q7" s="37">
        <v>69.5</v>
      </c>
    </row>
    <row r="8" spans="1:17">
      <c r="A8" s="10" t="s">
        <v>58</v>
      </c>
      <c r="B8" s="10" t="s">
        <v>60</v>
      </c>
      <c r="C8" s="10" t="s">
        <v>62</v>
      </c>
      <c r="D8" s="10" t="s">
        <v>67</v>
      </c>
      <c r="E8" s="10">
        <v>24</v>
      </c>
      <c r="F8" s="10">
        <v>75</v>
      </c>
      <c r="G8" s="10">
        <v>77</v>
      </c>
      <c r="H8" s="10">
        <v>89</v>
      </c>
      <c r="I8" s="10">
        <v>61</v>
      </c>
      <c r="J8" s="15">
        <v>11.100000000000001</v>
      </c>
      <c r="M8" t="s">
        <v>160</v>
      </c>
      <c r="N8" s="37">
        <v>68</v>
      </c>
      <c r="O8" s="37">
        <v>73</v>
      </c>
      <c r="P8" s="37">
        <v>71</v>
      </c>
      <c r="Q8" s="37">
        <v>70.5</v>
      </c>
    </row>
    <row r="9" spans="1:17">
      <c r="A9" s="10" t="s">
        <v>57</v>
      </c>
      <c r="B9" s="10" t="s">
        <v>64</v>
      </c>
      <c r="C9" s="10" t="s">
        <v>74</v>
      </c>
      <c r="D9" s="10" t="s">
        <v>86</v>
      </c>
      <c r="E9" s="10">
        <v>10</v>
      </c>
      <c r="F9" s="10">
        <v>71</v>
      </c>
      <c r="G9" s="10">
        <v>61</v>
      </c>
      <c r="H9" s="10">
        <v>71</v>
      </c>
      <c r="I9" s="10">
        <v>81</v>
      </c>
      <c r="J9" s="15">
        <v>4.1999999999999993</v>
      </c>
      <c r="M9" t="s">
        <v>161</v>
      </c>
      <c r="N9" s="37">
        <v>79.333333333333329</v>
      </c>
      <c r="O9" s="37">
        <v>67.666666666666671</v>
      </c>
      <c r="P9" s="37">
        <v>93</v>
      </c>
      <c r="Q9" s="37">
        <v>79.333333333333329</v>
      </c>
    </row>
    <row r="10" spans="1:17">
      <c r="A10" s="10" t="s">
        <v>57</v>
      </c>
      <c r="B10" s="10" t="s">
        <v>63</v>
      </c>
      <c r="C10" s="10" t="s">
        <v>69</v>
      </c>
      <c r="D10" s="10" t="s">
        <v>88</v>
      </c>
      <c r="E10" s="10">
        <v>30</v>
      </c>
      <c r="F10" s="10">
        <v>86</v>
      </c>
      <c r="G10" s="10">
        <v>73</v>
      </c>
      <c r="H10" s="10">
        <v>91</v>
      </c>
      <c r="I10" s="10">
        <v>96</v>
      </c>
      <c r="J10" s="15">
        <v>19.100000000000001</v>
      </c>
      <c r="M10" t="s">
        <v>162</v>
      </c>
      <c r="N10" s="37">
        <v>74</v>
      </c>
      <c r="O10" s="37">
        <v>99</v>
      </c>
      <c r="P10" s="37">
        <v>75.5</v>
      </c>
      <c r="Q10" s="37">
        <v>82.5</v>
      </c>
    </row>
    <row r="11" spans="1:17">
      <c r="A11" s="10" t="s">
        <v>57</v>
      </c>
      <c r="B11" s="10" t="s">
        <v>60</v>
      </c>
      <c r="C11" s="10" t="s">
        <v>62</v>
      </c>
      <c r="D11" s="10" t="s">
        <v>68</v>
      </c>
      <c r="E11" s="10">
        <v>26</v>
      </c>
      <c r="F11" s="10">
        <v>85</v>
      </c>
      <c r="G11" s="10">
        <v>93</v>
      </c>
      <c r="H11" s="10">
        <v>65</v>
      </c>
      <c r="I11" s="10">
        <v>98</v>
      </c>
      <c r="J11" s="15">
        <v>15</v>
      </c>
      <c r="L11" t="s">
        <v>165</v>
      </c>
      <c r="N11" s="37">
        <v>84.1875</v>
      </c>
      <c r="O11" s="37">
        <v>83.5625</v>
      </c>
      <c r="P11" s="37">
        <v>77.9375</v>
      </c>
      <c r="Q11" s="37">
        <v>81.5625</v>
      </c>
    </row>
    <row r="12" spans="1:17">
      <c r="A12" s="10" t="s">
        <v>58</v>
      </c>
      <c r="B12" s="10" t="s">
        <v>63</v>
      </c>
      <c r="C12" s="10" t="s">
        <v>70</v>
      </c>
      <c r="D12" s="10" t="s">
        <v>89</v>
      </c>
      <c r="E12" s="10">
        <v>22</v>
      </c>
      <c r="F12" s="10">
        <v>84</v>
      </c>
      <c r="G12" s="10">
        <v>75</v>
      </c>
      <c r="H12" s="10">
        <v>97</v>
      </c>
      <c r="I12" s="10">
        <v>80</v>
      </c>
      <c r="J12" s="15">
        <v>13.200000000000001</v>
      </c>
      <c r="M12" t="s">
        <v>157</v>
      </c>
      <c r="N12" s="37">
        <v>88.75</v>
      </c>
      <c r="O12" s="37">
        <v>83.25</v>
      </c>
      <c r="P12" s="37">
        <v>69.75</v>
      </c>
      <c r="Q12" s="37">
        <v>80.25</v>
      </c>
    </row>
    <row r="13" spans="1:17">
      <c r="A13" s="10" t="s">
        <v>57</v>
      </c>
      <c r="B13" s="10" t="s">
        <v>60</v>
      </c>
      <c r="C13" s="10" t="s">
        <v>62</v>
      </c>
      <c r="D13" s="10" t="s">
        <v>106</v>
      </c>
      <c r="E13" s="10">
        <v>11</v>
      </c>
      <c r="F13" s="10">
        <v>76</v>
      </c>
      <c r="G13" s="10">
        <v>87</v>
      </c>
      <c r="H13" s="10">
        <v>66</v>
      </c>
      <c r="I13" s="10">
        <v>76</v>
      </c>
      <c r="J13" s="15">
        <v>12.600000000000001</v>
      </c>
      <c r="M13" t="s">
        <v>158</v>
      </c>
      <c r="N13" s="37">
        <v>96.5</v>
      </c>
      <c r="O13" s="37">
        <v>78.5</v>
      </c>
      <c r="P13" s="37">
        <v>89.5</v>
      </c>
      <c r="Q13" s="37">
        <v>88</v>
      </c>
    </row>
    <row r="14" spans="1:17">
      <c r="A14" s="10" t="s">
        <v>57</v>
      </c>
      <c r="B14" s="10" t="s">
        <v>60</v>
      </c>
      <c r="C14" s="10" t="s">
        <v>71</v>
      </c>
      <c r="D14" s="10" t="s">
        <v>95</v>
      </c>
      <c r="E14" s="10">
        <v>21</v>
      </c>
      <c r="F14" s="10">
        <v>84</v>
      </c>
      <c r="G14" s="10">
        <v>100</v>
      </c>
      <c r="H14" s="10">
        <v>77</v>
      </c>
      <c r="I14" s="10">
        <v>77</v>
      </c>
      <c r="J14" s="15">
        <v>7.1999999999999993</v>
      </c>
      <c r="M14" t="s">
        <v>159</v>
      </c>
      <c r="N14" s="37">
        <v>75</v>
      </c>
      <c r="O14" s="37">
        <v>83</v>
      </c>
      <c r="P14" s="37">
        <v>84.333333333333329</v>
      </c>
      <c r="Q14" s="37">
        <v>80.666666666666671</v>
      </c>
    </row>
    <row r="15" spans="1:17">
      <c r="A15" s="10" t="s">
        <v>57</v>
      </c>
      <c r="B15" s="10" t="s">
        <v>63</v>
      </c>
      <c r="C15" s="10" t="s">
        <v>69</v>
      </c>
      <c r="D15" s="10" t="s">
        <v>102</v>
      </c>
      <c r="E15" s="10">
        <v>26</v>
      </c>
      <c r="F15" s="10">
        <v>75</v>
      </c>
      <c r="G15" s="10">
        <v>63</v>
      </c>
      <c r="H15" s="10">
        <v>73</v>
      </c>
      <c r="I15" s="10">
        <v>91</v>
      </c>
      <c r="J15" s="15">
        <v>12</v>
      </c>
      <c r="M15" t="s">
        <v>160</v>
      </c>
      <c r="N15" s="37">
        <v>79.5</v>
      </c>
      <c r="O15" s="37">
        <v>87.5</v>
      </c>
      <c r="P15" s="37">
        <v>74.5</v>
      </c>
      <c r="Q15" s="37">
        <v>80</v>
      </c>
    </row>
    <row r="16" spans="1:17">
      <c r="A16" s="10" t="s">
        <v>57</v>
      </c>
      <c r="B16" s="10" t="s">
        <v>60</v>
      </c>
      <c r="C16" s="10" t="s">
        <v>96</v>
      </c>
      <c r="D16" s="10" t="s">
        <v>100</v>
      </c>
      <c r="E16" s="10">
        <v>23</v>
      </c>
      <c r="F16" s="10">
        <v>72</v>
      </c>
      <c r="G16" s="10">
        <v>62</v>
      </c>
      <c r="H16" s="10">
        <v>89</v>
      </c>
      <c r="I16" s="10">
        <v>66</v>
      </c>
      <c r="J16" s="15">
        <v>14.3</v>
      </c>
      <c r="M16" t="s">
        <v>161</v>
      </c>
      <c r="N16" s="37">
        <v>78</v>
      </c>
      <c r="O16" s="37">
        <v>82.666666666666671</v>
      </c>
      <c r="P16" s="37">
        <v>71</v>
      </c>
      <c r="Q16" s="37">
        <v>76.666666666666671</v>
      </c>
    </row>
    <row r="17" spans="1:17">
      <c r="A17" s="10" t="s">
        <v>57</v>
      </c>
      <c r="B17" s="10" t="s">
        <v>63</v>
      </c>
      <c r="C17" s="10" t="s">
        <v>69</v>
      </c>
      <c r="D17" s="10" t="s">
        <v>92</v>
      </c>
      <c r="E17" s="10">
        <v>17</v>
      </c>
      <c r="F17" s="10">
        <v>77</v>
      </c>
      <c r="G17" s="10">
        <v>67</v>
      </c>
      <c r="H17" s="10">
        <v>74</v>
      </c>
      <c r="I17" s="10">
        <v>92</v>
      </c>
      <c r="J17" s="15">
        <v>2.7</v>
      </c>
      <c r="M17" t="s">
        <v>162</v>
      </c>
      <c r="N17" s="37">
        <v>90.5</v>
      </c>
      <c r="O17" s="37">
        <v>87.5</v>
      </c>
      <c r="P17" s="37">
        <v>87</v>
      </c>
      <c r="Q17" s="37">
        <v>88</v>
      </c>
    </row>
    <row r="18" spans="1:17">
      <c r="A18" s="10" t="s">
        <v>57</v>
      </c>
      <c r="B18" s="10" t="s">
        <v>63</v>
      </c>
      <c r="C18" s="10" t="s">
        <v>70</v>
      </c>
      <c r="D18" s="10" t="s">
        <v>81</v>
      </c>
      <c r="E18" s="10">
        <v>22</v>
      </c>
      <c r="F18" s="10">
        <v>86</v>
      </c>
      <c r="G18" s="10">
        <v>71</v>
      </c>
      <c r="H18" s="10">
        <v>98</v>
      </c>
      <c r="I18" s="10">
        <v>90</v>
      </c>
      <c r="J18" s="15">
        <v>6</v>
      </c>
      <c r="L18" t="s">
        <v>163</v>
      </c>
      <c r="N18" s="37">
        <v>80.612903225806448</v>
      </c>
      <c r="O18" s="37">
        <v>81</v>
      </c>
      <c r="P18" s="37">
        <v>78.935483870967744</v>
      </c>
      <c r="Q18" s="37">
        <v>79.870967741935488</v>
      </c>
    </row>
    <row r="19" spans="1:17">
      <c r="A19" s="10" t="s">
        <v>58</v>
      </c>
      <c r="B19" s="10" t="s">
        <v>64</v>
      </c>
      <c r="C19" s="10" t="s">
        <v>74</v>
      </c>
      <c r="D19" s="10" t="s">
        <v>87</v>
      </c>
      <c r="E19" s="10">
        <v>22</v>
      </c>
      <c r="F19" s="10">
        <v>82</v>
      </c>
      <c r="G19" s="10">
        <v>85</v>
      </c>
      <c r="H19" s="10">
        <v>95</v>
      </c>
      <c r="I19" s="10">
        <v>67</v>
      </c>
      <c r="J19" s="15">
        <v>0.30000000000000004</v>
      </c>
    </row>
    <row r="20" spans="1:17">
      <c r="A20" s="10" t="s">
        <v>57</v>
      </c>
      <c r="B20" s="10" t="s">
        <v>60</v>
      </c>
      <c r="C20" s="10" t="s">
        <v>62</v>
      </c>
      <c r="D20" s="10" t="s">
        <v>104</v>
      </c>
      <c r="E20" s="10">
        <v>25</v>
      </c>
      <c r="F20" s="10">
        <v>71</v>
      </c>
      <c r="G20" s="10">
        <v>68</v>
      </c>
      <c r="H20" s="10">
        <v>73</v>
      </c>
      <c r="I20" s="10">
        <v>72</v>
      </c>
      <c r="J20" s="15">
        <v>13.799999999999999</v>
      </c>
    </row>
    <row r="21" spans="1:17">
      <c r="A21" s="10" t="s">
        <v>58</v>
      </c>
      <c r="B21" s="10" t="s">
        <v>60</v>
      </c>
      <c r="C21" s="10" t="s">
        <v>96</v>
      </c>
      <c r="D21" s="10" t="s">
        <v>101</v>
      </c>
      <c r="E21" s="10">
        <v>27</v>
      </c>
      <c r="F21" s="10">
        <v>70</v>
      </c>
      <c r="G21" s="10">
        <v>80</v>
      </c>
      <c r="H21" s="10">
        <v>67</v>
      </c>
      <c r="I21" s="10">
        <v>63</v>
      </c>
      <c r="J21" s="15">
        <v>4.5</v>
      </c>
    </row>
    <row r="22" spans="1:17">
      <c r="A22" s="10" t="s">
        <v>57</v>
      </c>
      <c r="B22" s="10" t="s">
        <v>60</v>
      </c>
      <c r="C22" s="10" t="s">
        <v>96</v>
      </c>
      <c r="D22" s="10" t="s">
        <v>98</v>
      </c>
      <c r="E22" s="10">
        <v>10</v>
      </c>
      <c r="F22" s="10">
        <v>67</v>
      </c>
      <c r="G22" s="10">
        <v>75</v>
      </c>
      <c r="H22" s="10">
        <v>62</v>
      </c>
      <c r="I22" s="10">
        <v>64</v>
      </c>
      <c r="J22" s="15">
        <v>13.200000000000001</v>
      </c>
    </row>
    <row r="23" spans="1:17">
      <c r="A23" s="10" t="s">
        <v>58</v>
      </c>
      <c r="B23" s="10" t="s">
        <v>63</v>
      </c>
      <c r="C23" s="10" t="s">
        <v>70</v>
      </c>
      <c r="D23" s="10" t="s">
        <v>82</v>
      </c>
      <c r="E23" s="10">
        <v>30</v>
      </c>
      <c r="F23" s="10">
        <v>92</v>
      </c>
      <c r="G23" s="10">
        <v>82</v>
      </c>
      <c r="H23" s="10">
        <v>96</v>
      </c>
      <c r="I23" s="10">
        <v>99</v>
      </c>
      <c r="J23" s="15">
        <v>13.200000000000001</v>
      </c>
    </row>
    <row r="24" spans="1:17">
      <c r="A24" s="10" t="s">
        <v>58</v>
      </c>
      <c r="B24" s="10" t="s">
        <v>63</v>
      </c>
      <c r="C24" s="10" t="s">
        <v>69</v>
      </c>
      <c r="D24" s="10" t="s">
        <v>93</v>
      </c>
      <c r="E24" s="10">
        <v>22</v>
      </c>
      <c r="F24" s="10">
        <v>85</v>
      </c>
      <c r="G24" s="10">
        <v>96</v>
      </c>
      <c r="H24" s="10">
        <v>85</v>
      </c>
      <c r="I24" s="10">
        <v>76</v>
      </c>
      <c r="J24" s="15">
        <v>2.4000000000000004</v>
      </c>
    </row>
    <row r="25" spans="1:17">
      <c r="A25" s="10" t="s">
        <v>58</v>
      </c>
      <c r="B25" s="10" t="s">
        <v>60</v>
      </c>
      <c r="C25" s="10" t="s">
        <v>96</v>
      </c>
      <c r="D25" s="10" t="s">
        <v>99</v>
      </c>
      <c r="E25" s="10">
        <v>24</v>
      </c>
      <c r="F25" s="10">
        <v>76</v>
      </c>
      <c r="G25" s="10">
        <v>79</v>
      </c>
      <c r="H25" s="10">
        <v>60</v>
      </c>
      <c r="I25" s="10">
        <v>90</v>
      </c>
      <c r="J25" s="15">
        <v>4.8000000000000007</v>
      </c>
    </row>
    <row r="26" spans="1:17">
      <c r="A26" s="10" t="s">
        <v>58</v>
      </c>
      <c r="B26" s="10" t="s">
        <v>60</v>
      </c>
      <c r="C26" s="10" t="s">
        <v>71</v>
      </c>
      <c r="D26" s="10" t="s">
        <v>72</v>
      </c>
      <c r="E26" s="10">
        <v>19</v>
      </c>
      <c r="F26" s="10">
        <v>96</v>
      </c>
      <c r="G26" s="10">
        <v>99</v>
      </c>
      <c r="H26" s="10">
        <v>97</v>
      </c>
      <c r="I26" s="10">
        <v>94</v>
      </c>
      <c r="J26" s="15">
        <v>0.89999999999999991</v>
      </c>
    </row>
    <row r="27" spans="1:17">
      <c r="A27" s="10" t="s">
        <v>57</v>
      </c>
      <c r="B27" s="10" t="s">
        <v>64</v>
      </c>
      <c r="C27" s="10" t="s">
        <v>74</v>
      </c>
      <c r="D27" s="10" t="s">
        <v>84</v>
      </c>
      <c r="E27" s="10">
        <v>30</v>
      </c>
      <c r="F27" s="10">
        <v>70</v>
      </c>
      <c r="G27" s="10">
        <v>85</v>
      </c>
      <c r="H27" s="10">
        <v>65</v>
      </c>
      <c r="I27" s="10">
        <v>61</v>
      </c>
      <c r="J27" s="15">
        <v>8.1000000000000014</v>
      </c>
    </row>
    <row r="28" spans="1:17">
      <c r="A28" s="10" t="s">
        <v>57</v>
      </c>
      <c r="B28" s="10" t="s">
        <v>60</v>
      </c>
      <c r="C28" s="10" t="s">
        <v>62</v>
      </c>
      <c r="D28" s="10" t="s">
        <v>66</v>
      </c>
      <c r="E28" s="10">
        <v>28</v>
      </c>
      <c r="F28" s="10">
        <v>86</v>
      </c>
      <c r="G28" s="10">
        <v>92</v>
      </c>
      <c r="H28" s="10">
        <v>79</v>
      </c>
      <c r="I28" s="10">
        <v>87</v>
      </c>
      <c r="J28" s="15">
        <v>13.1</v>
      </c>
    </row>
    <row r="29" spans="1:17">
      <c r="A29" s="10" t="s">
        <v>58</v>
      </c>
      <c r="B29" s="10" t="s">
        <v>63</v>
      </c>
      <c r="C29" s="10" t="s">
        <v>69</v>
      </c>
      <c r="D29" s="10" t="s">
        <v>103</v>
      </c>
      <c r="E29" s="10">
        <v>11</v>
      </c>
      <c r="F29" s="10">
        <v>74</v>
      </c>
      <c r="G29" s="10">
        <v>90</v>
      </c>
      <c r="H29" s="10">
        <v>73</v>
      </c>
      <c r="I29" s="10">
        <v>60</v>
      </c>
      <c r="J29" s="15">
        <v>6.6000000000000005</v>
      </c>
    </row>
    <row r="30" spans="1:17">
      <c r="A30" s="10" t="s">
        <v>58</v>
      </c>
      <c r="B30" s="10" t="s">
        <v>60</v>
      </c>
      <c r="C30" s="10" t="s">
        <v>71</v>
      </c>
      <c r="D30" s="10" t="s">
        <v>94</v>
      </c>
      <c r="E30" s="10">
        <v>25</v>
      </c>
      <c r="F30" s="10">
        <v>80</v>
      </c>
      <c r="G30" s="10">
        <v>76</v>
      </c>
      <c r="H30" s="10">
        <v>84</v>
      </c>
      <c r="I30" s="10">
        <v>80</v>
      </c>
      <c r="J30" s="15">
        <v>1.2000000000000002</v>
      </c>
    </row>
    <row r="31" spans="1:17">
      <c r="A31" s="10" t="s">
        <v>58</v>
      </c>
      <c r="B31" s="10" t="s">
        <v>64</v>
      </c>
      <c r="C31" s="10" t="s">
        <v>74</v>
      </c>
      <c r="D31" s="10" t="s">
        <v>85</v>
      </c>
      <c r="E31" s="10">
        <v>14</v>
      </c>
      <c r="F31" s="10">
        <v>78</v>
      </c>
      <c r="G31" s="10">
        <v>90</v>
      </c>
      <c r="H31" s="10">
        <v>64</v>
      </c>
      <c r="I31" s="10">
        <v>82</v>
      </c>
      <c r="J31" s="15">
        <v>10.199999999999999</v>
      </c>
    </row>
    <row r="32" spans="1:17">
      <c r="A32" s="10" t="s">
        <v>58</v>
      </c>
      <c r="B32" s="10" t="s">
        <v>60</v>
      </c>
      <c r="C32" s="10" t="s">
        <v>96</v>
      </c>
      <c r="D32" s="10" t="s">
        <v>97</v>
      </c>
      <c r="E32" s="10">
        <v>26</v>
      </c>
      <c r="F32" s="10">
        <v>96</v>
      </c>
      <c r="G32" s="10">
        <v>90</v>
      </c>
      <c r="H32" s="10">
        <v>98</v>
      </c>
      <c r="I32" s="10">
        <v>100</v>
      </c>
      <c r="J32" s="15">
        <v>3</v>
      </c>
    </row>
    <row r="33" spans="1:10">
      <c r="A33" s="10" t="s">
        <v>58</v>
      </c>
      <c r="B33" s="10" t="s">
        <v>63</v>
      </c>
      <c r="C33" s="10" t="s">
        <v>69</v>
      </c>
      <c r="D33" s="10" t="s">
        <v>91</v>
      </c>
      <c r="E33" s="10">
        <v>29</v>
      </c>
      <c r="F33" s="10">
        <v>71</v>
      </c>
      <c r="G33" s="10">
        <v>62</v>
      </c>
      <c r="H33" s="10">
        <v>76</v>
      </c>
      <c r="I33" s="10">
        <v>77</v>
      </c>
      <c r="J33" s="15">
        <v>6.3000000000000007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P40"/>
  <sheetViews>
    <sheetView workbookViewId="0">
      <selection activeCell="Q12" sqref="Q12"/>
    </sheetView>
  </sheetViews>
  <sheetFormatPr defaultRowHeight="16.5"/>
  <cols>
    <col min="3" max="3" width="13" bestFit="1" customWidth="1"/>
    <col min="4" max="4" width="17.25" bestFit="1" customWidth="1"/>
    <col min="10" max="10" width="3.5" customWidth="1"/>
    <col min="11" max="11" width="13" bestFit="1" customWidth="1"/>
    <col min="16" max="16" width="11.125" customWidth="1"/>
  </cols>
  <sheetData>
    <row r="2" spans="1:16">
      <c r="A2" t="s">
        <v>108</v>
      </c>
      <c r="K2" t="s">
        <v>111</v>
      </c>
    </row>
    <row r="3" spans="1:16">
      <c r="A3" s="10" t="s">
        <v>56</v>
      </c>
      <c r="B3" s="10" t="s">
        <v>59</v>
      </c>
      <c r="C3" s="10" t="s">
        <v>61</v>
      </c>
      <c r="D3" s="10" t="s">
        <v>75</v>
      </c>
      <c r="E3" s="10" t="s">
        <v>76</v>
      </c>
      <c r="F3" s="10" t="s">
        <v>77</v>
      </c>
      <c r="G3" s="10" t="s">
        <v>78</v>
      </c>
      <c r="H3" s="10" t="s">
        <v>79</v>
      </c>
      <c r="I3" s="10" t="s">
        <v>80</v>
      </c>
      <c r="K3" s="10" t="s">
        <v>61</v>
      </c>
      <c r="L3" s="10" t="s">
        <v>76</v>
      </c>
      <c r="M3" s="10" t="s">
        <v>77</v>
      </c>
      <c r="N3" s="10" t="s">
        <v>78</v>
      </c>
      <c r="O3" s="10" t="s">
        <v>79</v>
      </c>
      <c r="P3" s="10" t="s">
        <v>80</v>
      </c>
    </row>
    <row r="4" spans="1:16">
      <c r="A4" s="10" t="s">
        <v>57</v>
      </c>
      <c r="B4" s="10" t="s">
        <v>60</v>
      </c>
      <c r="C4" s="10" t="s">
        <v>71</v>
      </c>
      <c r="D4" s="10" t="s">
        <v>73</v>
      </c>
      <c r="E4" s="10">
        <v>18</v>
      </c>
      <c r="F4" s="10">
        <v>81</v>
      </c>
      <c r="G4" s="10">
        <v>98</v>
      </c>
      <c r="H4" s="10">
        <v>71</v>
      </c>
      <c r="I4" s="10">
        <v>74</v>
      </c>
      <c r="K4" s="10" t="s">
        <v>71</v>
      </c>
      <c r="L4" s="14">
        <v>20.75</v>
      </c>
      <c r="M4" s="14">
        <v>85.25</v>
      </c>
      <c r="N4" s="14">
        <v>93.25</v>
      </c>
      <c r="O4" s="14">
        <v>82.25</v>
      </c>
      <c r="P4" s="14">
        <v>81.25</v>
      </c>
    </row>
    <row r="5" spans="1:16">
      <c r="A5" s="10" t="s">
        <v>57</v>
      </c>
      <c r="B5" s="10" t="s">
        <v>60</v>
      </c>
      <c r="C5" s="10" t="s">
        <v>62</v>
      </c>
      <c r="D5" s="10" t="s">
        <v>68</v>
      </c>
      <c r="E5" s="10">
        <v>26</v>
      </c>
      <c r="F5" s="10">
        <v>85</v>
      </c>
      <c r="G5" s="10">
        <v>93</v>
      </c>
      <c r="H5" s="10">
        <v>65</v>
      </c>
      <c r="I5" s="10">
        <v>98</v>
      </c>
      <c r="K5" s="10" t="s">
        <v>62</v>
      </c>
      <c r="L5" s="14">
        <v>19.25</v>
      </c>
      <c r="M5" s="14">
        <v>79.875</v>
      </c>
      <c r="N5" s="14">
        <v>84.125</v>
      </c>
      <c r="O5" s="14">
        <v>79.75</v>
      </c>
      <c r="P5" s="14">
        <v>76.5</v>
      </c>
    </row>
    <row r="6" spans="1:16">
      <c r="A6" s="10" t="s">
        <v>57</v>
      </c>
      <c r="B6" s="10" t="s">
        <v>60</v>
      </c>
      <c r="C6" s="10" t="s">
        <v>62</v>
      </c>
      <c r="D6" s="10" t="s">
        <v>106</v>
      </c>
      <c r="E6" s="10">
        <v>11</v>
      </c>
      <c r="F6" s="10">
        <v>76</v>
      </c>
      <c r="G6" s="10">
        <v>87</v>
      </c>
      <c r="H6" s="10">
        <v>66</v>
      </c>
      <c r="I6" s="10">
        <v>76</v>
      </c>
      <c r="K6" s="10" t="s">
        <v>96</v>
      </c>
      <c r="L6" s="14">
        <v>22</v>
      </c>
      <c r="M6" s="14">
        <v>76.2</v>
      </c>
      <c r="N6" s="14">
        <v>77.2</v>
      </c>
      <c r="O6" s="14">
        <v>75.2</v>
      </c>
      <c r="P6" s="14">
        <v>76.599999999999994</v>
      </c>
    </row>
    <row r="7" spans="1:16">
      <c r="A7" s="10" t="s">
        <v>57</v>
      </c>
      <c r="B7" s="10" t="s">
        <v>60</v>
      </c>
      <c r="C7" s="10" t="s">
        <v>71</v>
      </c>
      <c r="D7" s="10" t="s">
        <v>95</v>
      </c>
      <c r="E7" s="10">
        <v>21</v>
      </c>
      <c r="F7" s="10">
        <v>84</v>
      </c>
      <c r="G7" s="10">
        <v>100</v>
      </c>
      <c r="H7" s="10">
        <v>77</v>
      </c>
      <c r="I7" s="10">
        <v>77</v>
      </c>
      <c r="K7" s="10" t="s">
        <v>70</v>
      </c>
      <c r="L7" s="14">
        <v>25.5</v>
      </c>
      <c r="M7" s="14">
        <v>86.5</v>
      </c>
      <c r="N7" s="14">
        <v>76.75</v>
      </c>
      <c r="O7" s="14">
        <v>97.25</v>
      </c>
      <c r="P7" s="14">
        <v>86</v>
      </c>
    </row>
    <row r="8" spans="1:16">
      <c r="A8" s="10" t="s">
        <v>57</v>
      </c>
      <c r="B8" s="10" t="s">
        <v>60</v>
      </c>
      <c r="C8" s="10" t="s">
        <v>96</v>
      </c>
      <c r="D8" s="10" t="s">
        <v>100</v>
      </c>
      <c r="E8" s="10">
        <v>23</v>
      </c>
      <c r="F8" s="10">
        <v>72</v>
      </c>
      <c r="G8" s="10">
        <v>62</v>
      </c>
      <c r="H8" s="10">
        <v>89</v>
      </c>
      <c r="I8" s="10">
        <v>66</v>
      </c>
      <c r="K8" s="10" t="s">
        <v>69</v>
      </c>
      <c r="L8" s="14">
        <v>22.5</v>
      </c>
      <c r="M8" s="14">
        <v>78</v>
      </c>
      <c r="N8" s="14">
        <v>75.166666666666671</v>
      </c>
      <c r="O8" s="14">
        <v>78.666666666666671</v>
      </c>
      <c r="P8" s="14">
        <v>82</v>
      </c>
    </row>
    <row r="9" spans="1:16">
      <c r="A9" s="10" t="s">
        <v>57</v>
      </c>
      <c r="B9" s="10" t="s">
        <v>60</v>
      </c>
      <c r="C9" s="10" t="s">
        <v>62</v>
      </c>
      <c r="D9" s="10" t="s">
        <v>104</v>
      </c>
      <c r="E9" s="10">
        <v>25</v>
      </c>
      <c r="F9" s="10">
        <v>71</v>
      </c>
      <c r="G9" s="10">
        <v>68</v>
      </c>
      <c r="H9" s="10">
        <v>73</v>
      </c>
      <c r="I9" s="10">
        <v>72</v>
      </c>
      <c r="K9" s="10" t="s">
        <v>74</v>
      </c>
      <c r="L9" s="14">
        <v>19</v>
      </c>
      <c r="M9" s="14">
        <v>75.25</v>
      </c>
      <c r="N9" s="14">
        <v>80.25</v>
      </c>
      <c r="O9" s="14">
        <v>73.75</v>
      </c>
      <c r="P9" s="14">
        <v>72.75</v>
      </c>
    </row>
    <row r="10" spans="1:16">
      <c r="A10" s="10" t="s">
        <v>57</v>
      </c>
      <c r="B10" s="10" t="s">
        <v>60</v>
      </c>
      <c r="C10" s="10" t="s">
        <v>96</v>
      </c>
      <c r="D10" s="10" t="s">
        <v>98</v>
      </c>
      <c r="E10" s="10">
        <v>10</v>
      </c>
      <c r="F10" s="10">
        <v>67</v>
      </c>
      <c r="G10" s="10">
        <v>75</v>
      </c>
      <c r="H10" s="10">
        <v>62</v>
      </c>
      <c r="I10" s="10">
        <v>64</v>
      </c>
    </row>
    <row r="11" spans="1:16">
      <c r="A11" s="10" t="s">
        <v>57</v>
      </c>
      <c r="B11" s="10" t="s">
        <v>60</v>
      </c>
      <c r="C11" s="10" t="s">
        <v>62</v>
      </c>
      <c r="D11" s="10" t="s">
        <v>66</v>
      </c>
      <c r="E11" s="10">
        <v>28</v>
      </c>
      <c r="F11" s="10">
        <v>86</v>
      </c>
      <c r="G11" s="10">
        <v>92</v>
      </c>
      <c r="H11" s="10">
        <v>79</v>
      </c>
      <c r="I11" s="10">
        <v>87</v>
      </c>
    </row>
    <row r="12" spans="1:16">
      <c r="A12" s="10" t="s">
        <v>107</v>
      </c>
      <c r="B12" s="10" t="s">
        <v>60</v>
      </c>
      <c r="C12" s="10" t="s">
        <v>62</v>
      </c>
      <c r="D12" s="10" t="s">
        <v>65</v>
      </c>
      <c r="E12" s="10">
        <v>16</v>
      </c>
      <c r="F12" s="10">
        <v>85</v>
      </c>
      <c r="G12" s="10">
        <v>93</v>
      </c>
      <c r="H12" s="10">
        <v>98</v>
      </c>
      <c r="I12" s="10">
        <v>65</v>
      </c>
    </row>
    <row r="13" spans="1:16">
      <c r="A13" s="10" t="s">
        <v>58</v>
      </c>
      <c r="B13" s="10" t="s">
        <v>60</v>
      </c>
      <c r="C13" s="10" t="s">
        <v>62</v>
      </c>
      <c r="D13" s="10" t="s">
        <v>90</v>
      </c>
      <c r="E13" s="10">
        <v>10</v>
      </c>
      <c r="F13" s="10">
        <v>83</v>
      </c>
      <c r="G13" s="10">
        <v>81</v>
      </c>
      <c r="H13" s="10">
        <v>80</v>
      </c>
      <c r="I13" s="10">
        <v>89</v>
      </c>
    </row>
    <row r="14" spans="1:16">
      <c r="A14" s="10" t="s">
        <v>58</v>
      </c>
      <c r="B14" s="10" t="s">
        <v>60</v>
      </c>
      <c r="C14" s="10" t="s">
        <v>62</v>
      </c>
      <c r="D14" s="10" t="s">
        <v>105</v>
      </c>
      <c r="E14" s="10">
        <v>14</v>
      </c>
      <c r="F14" s="10">
        <v>78</v>
      </c>
      <c r="G14" s="10">
        <v>82</v>
      </c>
      <c r="H14" s="10">
        <v>88</v>
      </c>
      <c r="I14" s="10">
        <v>64</v>
      </c>
    </row>
    <row r="15" spans="1:16">
      <c r="A15" s="10" t="s">
        <v>58</v>
      </c>
      <c r="B15" s="10" t="s">
        <v>60</v>
      </c>
      <c r="C15" s="10" t="s">
        <v>62</v>
      </c>
      <c r="D15" s="10" t="s">
        <v>67</v>
      </c>
      <c r="E15" s="10">
        <v>24</v>
      </c>
      <c r="F15" s="10">
        <v>75</v>
      </c>
      <c r="G15" s="10">
        <v>77</v>
      </c>
      <c r="H15" s="10">
        <v>89</v>
      </c>
      <c r="I15" s="10">
        <v>61</v>
      </c>
    </row>
    <row r="16" spans="1:16">
      <c r="A16" s="10" t="s">
        <v>58</v>
      </c>
      <c r="B16" s="10" t="s">
        <v>60</v>
      </c>
      <c r="C16" s="10" t="s">
        <v>96</v>
      </c>
      <c r="D16" s="10" t="s">
        <v>101</v>
      </c>
      <c r="E16" s="10">
        <v>27</v>
      </c>
      <c r="F16" s="10">
        <v>70</v>
      </c>
      <c r="G16" s="10">
        <v>80</v>
      </c>
      <c r="H16" s="10">
        <v>67</v>
      </c>
      <c r="I16" s="10">
        <v>63</v>
      </c>
    </row>
    <row r="17" spans="1:9">
      <c r="A17" s="10" t="s">
        <v>58</v>
      </c>
      <c r="B17" s="10" t="s">
        <v>60</v>
      </c>
      <c r="C17" s="10" t="s">
        <v>96</v>
      </c>
      <c r="D17" s="10" t="s">
        <v>99</v>
      </c>
      <c r="E17" s="10">
        <v>24</v>
      </c>
      <c r="F17" s="10">
        <v>76</v>
      </c>
      <c r="G17" s="10">
        <v>79</v>
      </c>
      <c r="H17" s="10">
        <v>60</v>
      </c>
      <c r="I17" s="10">
        <v>90</v>
      </c>
    </row>
    <row r="18" spans="1:9">
      <c r="A18" s="10" t="s">
        <v>58</v>
      </c>
      <c r="B18" s="10" t="s">
        <v>60</v>
      </c>
      <c r="C18" s="10" t="s">
        <v>71</v>
      </c>
      <c r="D18" s="10" t="s">
        <v>72</v>
      </c>
      <c r="E18" s="10">
        <v>19</v>
      </c>
      <c r="F18" s="10">
        <v>96</v>
      </c>
      <c r="G18" s="10">
        <v>99</v>
      </c>
      <c r="H18" s="10">
        <v>97</v>
      </c>
      <c r="I18" s="10">
        <v>94</v>
      </c>
    </row>
    <row r="19" spans="1:9">
      <c r="A19" s="10" t="s">
        <v>58</v>
      </c>
      <c r="B19" s="10" t="s">
        <v>60</v>
      </c>
      <c r="C19" s="10" t="s">
        <v>71</v>
      </c>
      <c r="D19" s="10" t="s">
        <v>94</v>
      </c>
      <c r="E19" s="10">
        <v>25</v>
      </c>
      <c r="F19" s="10">
        <v>80</v>
      </c>
      <c r="G19" s="10">
        <v>76</v>
      </c>
      <c r="H19" s="10">
        <v>84</v>
      </c>
      <c r="I19" s="10">
        <v>80</v>
      </c>
    </row>
    <row r="20" spans="1:9">
      <c r="A20" s="10" t="s">
        <v>58</v>
      </c>
      <c r="B20" s="10" t="s">
        <v>60</v>
      </c>
      <c r="C20" s="10" t="s">
        <v>96</v>
      </c>
      <c r="D20" s="10" t="s">
        <v>97</v>
      </c>
      <c r="E20" s="10">
        <v>26</v>
      </c>
      <c r="F20" s="10">
        <v>96</v>
      </c>
      <c r="G20" s="10">
        <v>90</v>
      </c>
      <c r="H20" s="10">
        <v>98</v>
      </c>
      <c r="I20" s="10">
        <v>100</v>
      </c>
    </row>
    <row r="21" spans="1:9">
      <c r="A21" s="12"/>
      <c r="B21" s="12"/>
      <c r="C21" s="12"/>
      <c r="D21" s="12"/>
      <c r="E21" s="12"/>
      <c r="F21" s="12"/>
      <c r="G21" s="12"/>
      <c r="H21" s="12"/>
      <c r="I21" s="12"/>
    </row>
    <row r="22" spans="1:9">
      <c r="A22" s="13" t="s">
        <v>109</v>
      </c>
      <c r="B22" s="12"/>
      <c r="C22" s="12"/>
      <c r="D22" s="12"/>
      <c r="E22" s="12"/>
      <c r="F22" s="12"/>
      <c r="G22" s="12"/>
      <c r="H22" s="12"/>
      <c r="I22" s="12"/>
    </row>
    <row r="23" spans="1:9">
      <c r="A23" s="10" t="s">
        <v>56</v>
      </c>
      <c r="B23" s="10" t="s">
        <v>59</v>
      </c>
      <c r="C23" s="10" t="s">
        <v>61</v>
      </c>
      <c r="D23" s="10" t="s">
        <v>75</v>
      </c>
      <c r="E23" s="10" t="s">
        <v>76</v>
      </c>
      <c r="F23" s="10" t="s">
        <v>77</v>
      </c>
      <c r="G23" s="10" t="s">
        <v>78</v>
      </c>
      <c r="H23" s="10" t="s">
        <v>79</v>
      </c>
      <c r="I23" s="10" t="s">
        <v>80</v>
      </c>
    </row>
    <row r="24" spans="1:9">
      <c r="A24" s="10" t="s">
        <v>57</v>
      </c>
      <c r="B24" s="10" t="s">
        <v>63</v>
      </c>
      <c r="C24" s="10" t="s">
        <v>70</v>
      </c>
      <c r="D24" s="10" t="s">
        <v>83</v>
      </c>
      <c r="E24" s="10">
        <v>28</v>
      </c>
      <c r="F24" s="10">
        <v>84</v>
      </c>
      <c r="G24" s="10">
        <v>79</v>
      </c>
      <c r="H24" s="10">
        <v>98</v>
      </c>
      <c r="I24" s="10">
        <v>75</v>
      </c>
    </row>
    <row r="25" spans="1:9">
      <c r="A25" s="10" t="s">
        <v>57</v>
      </c>
      <c r="B25" s="10" t="s">
        <v>63</v>
      </c>
      <c r="C25" s="10" t="s">
        <v>69</v>
      </c>
      <c r="D25" s="10" t="s">
        <v>88</v>
      </c>
      <c r="E25" s="10">
        <v>30</v>
      </c>
      <c r="F25" s="10">
        <v>86</v>
      </c>
      <c r="G25" s="10">
        <v>73</v>
      </c>
      <c r="H25" s="10">
        <v>91</v>
      </c>
      <c r="I25" s="10">
        <v>96</v>
      </c>
    </row>
    <row r="26" spans="1:9">
      <c r="A26" s="10" t="s">
        <v>57</v>
      </c>
      <c r="B26" s="10" t="s">
        <v>63</v>
      </c>
      <c r="C26" s="10" t="s">
        <v>69</v>
      </c>
      <c r="D26" s="10" t="s">
        <v>102</v>
      </c>
      <c r="E26" s="10">
        <v>26</v>
      </c>
      <c r="F26" s="10">
        <v>75</v>
      </c>
      <c r="G26" s="10">
        <v>63</v>
      </c>
      <c r="H26" s="10">
        <v>73</v>
      </c>
      <c r="I26" s="10">
        <v>91</v>
      </c>
    </row>
    <row r="27" spans="1:9">
      <c r="A27" s="10" t="s">
        <v>57</v>
      </c>
      <c r="B27" s="10" t="s">
        <v>63</v>
      </c>
      <c r="C27" s="10" t="s">
        <v>69</v>
      </c>
      <c r="D27" s="10" t="s">
        <v>92</v>
      </c>
      <c r="E27" s="10">
        <v>17</v>
      </c>
      <c r="F27" s="10">
        <v>77</v>
      </c>
      <c r="G27" s="10">
        <v>67</v>
      </c>
      <c r="H27" s="10">
        <v>74</v>
      </c>
      <c r="I27" s="10">
        <v>92</v>
      </c>
    </row>
    <row r="28" spans="1:9">
      <c r="A28" s="10" t="s">
        <v>57</v>
      </c>
      <c r="B28" s="10" t="s">
        <v>63</v>
      </c>
      <c r="C28" s="10" t="s">
        <v>70</v>
      </c>
      <c r="D28" s="10" t="s">
        <v>81</v>
      </c>
      <c r="E28" s="10">
        <v>22</v>
      </c>
      <c r="F28" s="10">
        <v>86</v>
      </c>
      <c r="G28" s="10">
        <v>71</v>
      </c>
      <c r="H28" s="10">
        <v>98</v>
      </c>
      <c r="I28" s="10">
        <v>90</v>
      </c>
    </row>
    <row r="29" spans="1:9">
      <c r="A29" s="10" t="s">
        <v>58</v>
      </c>
      <c r="B29" s="10" t="s">
        <v>63</v>
      </c>
      <c r="C29" s="10" t="s">
        <v>70</v>
      </c>
      <c r="D29" s="10" t="s">
        <v>89</v>
      </c>
      <c r="E29" s="10">
        <v>22</v>
      </c>
      <c r="F29" s="10">
        <v>84</v>
      </c>
      <c r="G29" s="10">
        <v>75</v>
      </c>
      <c r="H29" s="10">
        <v>97</v>
      </c>
      <c r="I29" s="10">
        <v>80</v>
      </c>
    </row>
    <row r="30" spans="1:9">
      <c r="A30" s="10" t="s">
        <v>58</v>
      </c>
      <c r="B30" s="10" t="s">
        <v>63</v>
      </c>
      <c r="C30" s="10" t="s">
        <v>70</v>
      </c>
      <c r="D30" s="10" t="s">
        <v>82</v>
      </c>
      <c r="E30" s="10">
        <v>30</v>
      </c>
      <c r="F30" s="10">
        <v>92</v>
      </c>
      <c r="G30" s="10">
        <v>82</v>
      </c>
      <c r="H30" s="10">
        <v>96</v>
      </c>
      <c r="I30" s="10">
        <v>99</v>
      </c>
    </row>
    <row r="31" spans="1:9">
      <c r="A31" s="10" t="s">
        <v>58</v>
      </c>
      <c r="B31" s="10" t="s">
        <v>63</v>
      </c>
      <c r="C31" s="10" t="s">
        <v>69</v>
      </c>
      <c r="D31" s="10" t="s">
        <v>93</v>
      </c>
      <c r="E31" s="10">
        <v>22</v>
      </c>
      <c r="F31" s="10">
        <v>85</v>
      </c>
      <c r="G31" s="10">
        <v>96</v>
      </c>
      <c r="H31" s="10">
        <v>85</v>
      </c>
      <c r="I31" s="10">
        <v>76</v>
      </c>
    </row>
    <row r="32" spans="1:9">
      <c r="A32" s="10" t="s">
        <v>58</v>
      </c>
      <c r="B32" s="10" t="s">
        <v>63</v>
      </c>
      <c r="C32" s="10" t="s">
        <v>69</v>
      </c>
      <c r="D32" s="10" t="s">
        <v>103</v>
      </c>
      <c r="E32" s="10">
        <v>11</v>
      </c>
      <c r="F32" s="10">
        <v>74</v>
      </c>
      <c r="G32" s="10">
        <v>90</v>
      </c>
      <c r="H32" s="10">
        <v>73</v>
      </c>
      <c r="I32" s="10">
        <v>60</v>
      </c>
    </row>
    <row r="33" spans="1:9">
      <c r="A33" s="10" t="s">
        <v>58</v>
      </c>
      <c r="B33" s="10" t="s">
        <v>63</v>
      </c>
      <c r="C33" s="10" t="s">
        <v>69</v>
      </c>
      <c r="D33" s="10" t="s">
        <v>91</v>
      </c>
      <c r="E33" s="10">
        <v>29</v>
      </c>
      <c r="F33" s="10">
        <v>71</v>
      </c>
      <c r="G33" s="10">
        <v>62</v>
      </c>
      <c r="H33" s="10">
        <v>76</v>
      </c>
      <c r="I33" s="10">
        <v>77</v>
      </c>
    </row>
    <row r="34" spans="1:9">
      <c r="A34" s="12"/>
      <c r="B34" s="12"/>
      <c r="C34" s="12"/>
      <c r="D34" s="12"/>
      <c r="E34" s="12"/>
      <c r="F34" s="12"/>
      <c r="G34" s="12"/>
      <c r="H34" s="12"/>
      <c r="I34" s="12"/>
    </row>
    <row r="35" spans="1:9">
      <c r="A35" s="13" t="s">
        <v>110</v>
      </c>
      <c r="B35" s="12"/>
      <c r="C35" s="12"/>
      <c r="D35" s="12"/>
      <c r="E35" s="12"/>
      <c r="F35" s="12"/>
      <c r="G35" s="12"/>
      <c r="H35" s="12"/>
      <c r="I35" s="12"/>
    </row>
    <row r="36" spans="1:9">
      <c r="A36" s="10" t="s">
        <v>56</v>
      </c>
      <c r="B36" s="10" t="s">
        <v>59</v>
      </c>
      <c r="C36" s="10" t="s">
        <v>61</v>
      </c>
      <c r="D36" s="10" t="s">
        <v>75</v>
      </c>
      <c r="E36" s="10" t="s">
        <v>76</v>
      </c>
      <c r="F36" s="10" t="s">
        <v>77</v>
      </c>
      <c r="G36" s="10" t="s">
        <v>78</v>
      </c>
      <c r="H36" s="10" t="s">
        <v>79</v>
      </c>
      <c r="I36" s="10" t="s">
        <v>80</v>
      </c>
    </row>
    <row r="37" spans="1:9">
      <c r="A37" s="10" t="s">
        <v>57</v>
      </c>
      <c r="B37" s="10" t="s">
        <v>64</v>
      </c>
      <c r="C37" s="10" t="s">
        <v>74</v>
      </c>
      <c r="D37" s="10" t="s">
        <v>86</v>
      </c>
      <c r="E37" s="10">
        <v>10</v>
      </c>
      <c r="F37" s="10">
        <v>71</v>
      </c>
      <c r="G37" s="10">
        <v>61</v>
      </c>
      <c r="H37" s="10">
        <v>71</v>
      </c>
      <c r="I37" s="10">
        <v>81</v>
      </c>
    </row>
    <row r="38" spans="1:9">
      <c r="A38" s="10" t="s">
        <v>57</v>
      </c>
      <c r="B38" s="10" t="s">
        <v>64</v>
      </c>
      <c r="C38" s="10" t="s">
        <v>74</v>
      </c>
      <c r="D38" s="10" t="s">
        <v>84</v>
      </c>
      <c r="E38" s="10">
        <v>30</v>
      </c>
      <c r="F38" s="10">
        <v>70</v>
      </c>
      <c r="G38" s="10">
        <v>85</v>
      </c>
      <c r="H38" s="10">
        <v>65</v>
      </c>
      <c r="I38" s="10">
        <v>61</v>
      </c>
    </row>
    <row r="39" spans="1:9">
      <c r="A39" s="10" t="s">
        <v>58</v>
      </c>
      <c r="B39" s="10" t="s">
        <v>64</v>
      </c>
      <c r="C39" s="10" t="s">
        <v>74</v>
      </c>
      <c r="D39" s="10" t="s">
        <v>87</v>
      </c>
      <c r="E39" s="10">
        <v>22</v>
      </c>
      <c r="F39" s="10">
        <v>82</v>
      </c>
      <c r="G39" s="10">
        <v>85</v>
      </c>
      <c r="H39" s="10">
        <v>95</v>
      </c>
      <c r="I39" s="10">
        <v>67</v>
      </c>
    </row>
    <row r="40" spans="1:9">
      <c r="A40" s="10" t="s">
        <v>58</v>
      </c>
      <c r="B40" s="10" t="s">
        <v>64</v>
      </c>
      <c r="C40" s="10" t="s">
        <v>74</v>
      </c>
      <c r="D40" s="10" t="s">
        <v>85</v>
      </c>
      <c r="E40" s="10">
        <v>14</v>
      </c>
      <c r="F40" s="10">
        <v>78</v>
      </c>
      <c r="G40" s="10">
        <v>90</v>
      </c>
      <c r="H40" s="10">
        <v>64</v>
      </c>
      <c r="I40" s="10">
        <v>82</v>
      </c>
    </row>
  </sheetData>
  <sortState ref="A3:I33">
    <sortCondition descending="1" ref="B9"/>
  </sortState>
  <dataConsolidate function="average" leftLabels="1" topLabels="1">
    <dataRefs count="3">
      <dataRef ref="C3:I20" sheet="분석작업-2"/>
      <dataRef ref="C23:I33" sheet="분석작업-2"/>
      <dataRef ref="C36:I40" sheet="분석작업-2"/>
    </dataRefs>
  </dataConsolidate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H10"/>
  <sheetViews>
    <sheetView workbookViewId="0"/>
  </sheetViews>
  <sheetFormatPr defaultRowHeight="16.5"/>
  <cols>
    <col min="2" max="2" width="13" bestFit="1" customWidth="1"/>
  </cols>
  <sheetData>
    <row r="2" spans="2:8">
      <c r="B2" s="16" t="s">
        <v>113</v>
      </c>
    </row>
    <row r="3" spans="2:8">
      <c r="B3" s="10" t="s">
        <v>61</v>
      </c>
      <c r="C3" s="10" t="s">
        <v>76</v>
      </c>
      <c r="D3" s="10" t="s">
        <v>77</v>
      </c>
      <c r="E3" s="10" t="s">
        <v>78</v>
      </c>
      <c r="F3" s="10" t="s">
        <v>79</v>
      </c>
      <c r="G3" s="10" t="s">
        <v>80</v>
      </c>
      <c r="H3" s="14" t="s">
        <v>112</v>
      </c>
    </row>
    <row r="4" spans="2:8">
      <c r="B4" s="10" t="s">
        <v>71</v>
      </c>
      <c r="C4" s="14">
        <v>20</v>
      </c>
      <c r="D4" s="14">
        <v>85</v>
      </c>
      <c r="E4" s="14">
        <v>93</v>
      </c>
      <c r="F4" s="14">
        <v>82</v>
      </c>
      <c r="G4" s="14">
        <v>81</v>
      </c>
      <c r="H4" s="15">
        <v>5</v>
      </c>
    </row>
    <row r="5" spans="2:8">
      <c r="B5" s="10" t="s">
        <v>62</v>
      </c>
      <c r="C5" s="14">
        <v>19</v>
      </c>
      <c r="D5" s="14">
        <v>80</v>
      </c>
      <c r="E5" s="14">
        <v>84</v>
      </c>
      <c r="F5" s="14">
        <v>79</v>
      </c>
      <c r="G5" s="14">
        <v>76</v>
      </c>
      <c r="H5" s="15">
        <v>4</v>
      </c>
    </row>
    <row r="6" spans="2:8">
      <c r="B6" s="10" t="s">
        <v>96</v>
      </c>
      <c r="C6" s="14">
        <v>22</v>
      </c>
      <c r="D6" s="14">
        <v>76</v>
      </c>
      <c r="E6" s="14">
        <v>77</v>
      </c>
      <c r="F6" s="14">
        <v>75</v>
      </c>
      <c r="G6" s="14">
        <v>76</v>
      </c>
      <c r="H6" s="15">
        <v>8</v>
      </c>
    </row>
    <row r="7" spans="2:8">
      <c r="B7" s="10" t="s">
        <v>70</v>
      </c>
      <c r="C7" s="14">
        <v>25</v>
      </c>
      <c r="D7" s="14">
        <v>86</v>
      </c>
      <c r="E7" s="14">
        <v>76</v>
      </c>
      <c r="F7" s="14">
        <v>97</v>
      </c>
      <c r="G7" s="14">
        <v>86</v>
      </c>
      <c r="H7" s="15">
        <v>5</v>
      </c>
    </row>
    <row r="8" spans="2:8">
      <c r="B8" s="10" t="s">
        <v>69</v>
      </c>
      <c r="C8" s="14">
        <v>22</v>
      </c>
      <c r="D8" s="14">
        <v>78</v>
      </c>
      <c r="E8" s="14">
        <v>75</v>
      </c>
      <c r="F8" s="14">
        <v>78</v>
      </c>
      <c r="G8" s="14">
        <v>82</v>
      </c>
      <c r="H8" s="15">
        <v>9</v>
      </c>
    </row>
    <row r="9" spans="2:8">
      <c r="B9" s="10" t="s">
        <v>74</v>
      </c>
      <c r="C9" s="14">
        <v>19</v>
      </c>
      <c r="D9" s="14">
        <v>88</v>
      </c>
      <c r="E9" s="14">
        <v>80</v>
      </c>
      <c r="F9" s="14">
        <v>73</v>
      </c>
      <c r="G9" s="14">
        <v>72</v>
      </c>
      <c r="H9" s="15">
        <v>6</v>
      </c>
    </row>
    <row r="10" spans="2:8">
      <c r="H10" s="20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O34"/>
  <sheetViews>
    <sheetView workbookViewId="0">
      <selection activeCell="L19" sqref="L19"/>
    </sheetView>
  </sheetViews>
  <sheetFormatPr defaultRowHeight="16.5"/>
  <cols>
    <col min="1" max="1" width="5" customWidth="1"/>
    <col min="2" max="2" width="9" bestFit="1" customWidth="1"/>
    <col min="3" max="3" width="10.375" customWidth="1"/>
    <col min="6" max="6" width="13.375" customWidth="1"/>
    <col min="7" max="7" width="6.25" customWidth="1"/>
    <col min="8" max="8" width="13.5" customWidth="1"/>
    <col min="9" max="9" width="16.125" customWidth="1"/>
    <col min="12" max="12" width="13.5" customWidth="1"/>
  </cols>
  <sheetData>
    <row r="2" spans="2:15">
      <c r="B2" s="12" t="s">
        <v>114</v>
      </c>
      <c r="I2" s="21"/>
    </row>
    <row r="3" spans="2:15">
      <c r="B3" s="10" t="s">
        <v>115</v>
      </c>
      <c r="C3" s="10" t="s">
        <v>116</v>
      </c>
      <c r="D3" s="10" t="s">
        <v>117</v>
      </c>
      <c r="E3" s="10" t="s">
        <v>118</v>
      </c>
      <c r="F3" s="10" t="s">
        <v>119</v>
      </c>
      <c r="G3" s="10" t="s">
        <v>140</v>
      </c>
      <c r="H3" s="10" t="s">
        <v>120</v>
      </c>
      <c r="I3" s="10" t="s">
        <v>121</v>
      </c>
      <c r="L3" s="17" t="s">
        <v>2</v>
      </c>
      <c r="M3" s="18" t="s">
        <v>128</v>
      </c>
      <c r="N3" s="18" t="s">
        <v>129</v>
      </c>
      <c r="O3" s="6" t="s">
        <v>130</v>
      </c>
    </row>
    <row r="4" spans="2:15">
      <c r="B4" s="10">
        <v>1</v>
      </c>
      <c r="C4" s="10" t="s">
        <v>137</v>
      </c>
      <c r="D4" s="10" t="s">
        <v>138</v>
      </c>
      <c r="E4" s="10" t="s">
        <v>139</v>
      </c>
      <c r="F4" s="22">
        <v>40549</v>
      </c>
      <c r="G4" s="15">
        <v>8</v>
      </c>
      <c r="H4" s="10" t="s">
        <v>141</v>
      </c>
      <c r="I4" s="10" t="s">
        <v>142</v>
      </c>
      <c r="L4" s="17" t="s">
        <v>122</v>
      </c>
      <c r="M4" s="17">
        <v>2005</v>
      </c>
      <c r="N4" s="17">
        <v>1</v>
      </c>
      <c r="O4" s="10">
        <v>1</v>
      </c>
    </row>
    <row r="5" spans="2:15">
      <c r="B5" s="10"/>
      <c r="C5" s="17"/>
      <c r="D5" s="10"/>
      <c r="E5" s="10"/>
      <c r="F5" s="22"/>
      <c r="G5" s="10"/>
      <c r="H5" s="10"/>
      <c r="I5" s="10"/>
      <c r="L5" s="17" t="s">
        <v>123</v>
      </c>
      <c r="M5" s="17">
        <v>2006</v>
      </c>
      <c r="N5" s="17">
        <v>2</v>
      </c>
      <c r="O5" s="10">
        <v>2</v>
      </c>
    </row>
    <row r="6" spans="2:15">
      <c r="B6" s="10"/>
      <c r="C6" s="10"/>
      <c r="D6" s="10"/>
      <c r="E6" s="10"/>
      <c r="F6" s="10"/>
      <c r="G6" s="10"/>
      <c r="H6" s="10"/>
      <c r="I6" s="10"/>
      <c r="L6" s="17" t="s">
        <v>124</v>
      </c>
      <c r="M6" s="17">
        <v>2007</v>
      </c>
      <c r="N6" s="17">
        <v>3</v>
      </c>
      <c r="O6" s="10">
        <v>3</v>
      </c>
    </row>
    <row r="7" spans="2:15">
      <c r="B7" s="10"/>
      <c r="C7" s="10"/>
      <c r="D7" s="10"/>
      <c r="E7" s="10"/>
      <c r="F7" s="10"/>
      <c r="G7" s="10"/>
      <c r="H7" s="10"/>
      <c r="I7" s="10"/>
      <c r="L7" s="17" t="s">
        <v>125</v>
      </c>
      <c r="M7" s="17">
        <v>2008</v>
      </c>
      <c r="N7" s="17">
        <v>4</v>
      </c>
      <c r="O7" s="10">
        <v>4</v>
      </c>
    </row>
    <row r="8" spans="2:15">
      <c r="B8" s="10"/>
      <c r="C8" s="10"/>
      <c r="D8" s="10"/>
      <c r="E8" s="10"/>
      <c r="F8" s="10"/>
      <c r="G8" s="10"/>
      <c r="H8" s="10"/>
      <c r="I8" s="10"/>
      <c r="L8" s="17" t="s">
        <v>126</v>
      </c>
      <c r="M8" s="17">
        <v>2009</v>
      </c>
      <c r="N8" s="17">
        <v>5</v>
      </c>
      <c r="O8" s="10">
        <v>5</v>
      </c>
    </row>
    <row r="9" spans="2:15">
      <c r="B9" s="10"/>
      <c r="C9" s="10"/>
      <c r="D9" s="10"/>
      <c r="E9" s="10"/>
      <c r="F9" s="10"/>
      <c r="G9" s="10"/>
      <c r="H9" s="10"/>
      <c r="I9" s="10"/>
      <c r="L9" s="17" t="s">
        <v>127</v>
      </c>
      <c r="M9" s="17">
        <v>2010</v>
      </c>
      <c r="N9" s="17">
        <v>6</v>
      </c>
      <c r="O9" s="10">
        <v>6</v>
      </c>
    </row>
    <row r="10" spans="2:15">
      <c r="B10" s="10"/>
      <c r="C10" s="10"/>
      <c r="D10" s="10"/>
      <c r="E10" s="10"/>
      <c r="F10" s="10"/>
      <c r="G10" s="10"/>
      <c r="H10" s="10"/>
      <c r="I10" s="10"/>
      <c r="L10" s="12"/>
      <c r="M10" s="17">
        <v>2011</v>
      </c>
      <c r="N10" s="17">
        <v>7</v>
      </c>
      <c r="O10" s="10">
        <v>7</v>
      </c>
    </row>
    <row r="11" spans="2:15">
      <c r="B11" s="10"/>
      <c r="C11" s="10"/>
      <c r="D11" s="10"/>
      <c r="E11" s="10"/>
      <c r="F11" s="10"/>
      <c r="G11" s="10"/>
      <c r="H11" s="10"/>
      <c r="I11" s="10"/>
      <c r="L11" s="12"/>
      <c r="M11" s="12"/>
      <c r="N11" s="17">
        <v>8</v>
      </c>
      <c r="O11" s="10">
        <v>8</v>
      </c>
    </row>
    <row r="12" spans="2:15">
      <c r="B12" s="10"/>
      <c r="C12" s="10"/>
      <c r="D12" s="10"/>
      <c r="E12" s="10"/>
      <c r="F12" s="10"/>
      <c r="G12" s="10"/>
      <c r="H12" s="10"/>
      <c r="I12" s="10"/>
      <c r="L12" s="12"/>
      <c r="M12" s="12"/>
      <c r="N12" s="17">
        <v>9</v>
      </c>
      <c r="O12" s="10">
        <v>9</v>
      </c>
    </row>
    <row r="13" spans="2:15">
      <c r="B13" s="10"/>
      <c r="C13" s="10"/>
      <c r="D13" s="10"/>
      <c r="E13" s="10"/>
      <c r="F13" s="10"/>
      <c r="G13" s="10"/>
      <c r="H13" s="10"/>
      <c r="I13" s="10"/>
      <c r="L13" s="12"/>
      <c r="M13" s="12"/>
      <c r="N13" s="17">
        <v>10</v>
      </c>
      <c r="O13" s="10">
        <v>10</v>
      </c>
    </row>
    <row r="14" spans="2:15">
      <c r="B14" s="10"/>
      <c r="C14" s="10"/>
      <c r="D14" s="10"/>
      <c r="E14" s="10"/>
      <c r="F14" s="10"/>
      <c r="G14" s="10"/>
      <c r="H14" s="10"/>
      <c r="I14" s="10"/>
      <c r="L14" s="12"/>
      <c r="M14" s="12"/>
      <c r="N14" s="17">
        <v>11</v>
      </c>
      <c r="O14" s="10">
        <v>11</v>
      </c>
    </row>
    <row r="15" spans="2:15">
      <c r="B15" s="10"/>
      <c r="C15" s="10"/>
      <c r="D15" s="10"/>
      <c r="E15" s="10"/>
      <c r="F15" s="10"/>
      <c r="G15" s="10"/>
      <c r="H15" s="10"/>
      <c r="I15" s="10"/>
      <c r="L15" s="12"/>
      <c r="M15" s="12"/>
      <c r="N15" s="17">
        <v>12</v>
      </c>
      <c r="O15" s="10">
        <v>12</v>
      </c>
    </row>
    <row r="16" spans="2:15">
      <c r="B16" s="10"/>
      <c r="C16" s="10"/>
      <c r="D16" s="10"/>
      <c r="E16" s="10"/>
      <c r="F16" s="10"/>
      <c r="G16" s="10"/>
      <c r="H16" s="10"/>
      <c r="I16" s="10"/>
      <c r="L16" s="12"/>
      <c r="M16" s="12"/>
      <c r="N16" s="12"/>
      <c r="O16" s="10">
        <v>13</v>
      </c>
    </row>
    <row r="17" spans="2:15">
      <c r="B17" s="10"/>
      <c r="C17" s="10"/>
      <c r="D17" s="10"/>
      <c r="E17" s="10"/>
      <c r="F17" s="10"/>
      <c r="G17" s="10"/>
      <c r="H17" s="10"/>
      <c r="I17" s="10"/>
      <c r="L17" s="12"/>
      <c r="M17" s="12"/>
      <c r="N17" s="12"/>
      <c r="O17" s="10">
        <v>14</v>
      </c>
    </row>
    <row r="18" spans="2:15">
      <c r="B18" s="10"/>
      <c r="C18" s="10"/>
      <c r="D18" s="10"/>
      <c r="E18" s="10"/>
      <c r="F18" s="10"/>
      <c r="G18" s="10"/>
      <c r="H18" s="10"/>
      <c r="I18" s="10"/>
      <c r="L18" s="12"/>
      <c r="M18" s="12"/>
      <c r="N18" s="12"/>
      <c r="O18" s="10">
        <v>15</v>
      </c>
    </row>
    <row r="19" spans="2:15">
      <c r="B19" s="10"/>
      <c r="C19" s="10"/>
      <c r="D19" s="10"/>
      <c r="E19" s="10"/>
      <c r="F19" s="10"/>
      <c r="G19" s="10"/>
      <c r="H19" s="10"/>
      <c r="I19" s="10"/>
      <c r="L19" s="12"/>
      <c r="M19" s="12"/>
      <c r="N19" s="12"/>
      <c r="O19" s="10">
        <v>16</v>
      </c>
    </row>
    <row r="20" spans="2:15">
      <c r="B20" s="10"/>
      <c r="C20" s="10"/>
      <c r="D20" s="10"/>
      <c r="E20" s="10"/>
      <c r="F20" s="10"/>
      <c r="G20" s="10"/>
      <c r="H20" s="10"/>
      <c r="I20" s="10"/>
      <c r="L20" s="12"/>
      <c r="M20" s="12"/>
      <c r="N20" s="12"/>
      <c r="O20" s="10">
        <v>17</v>
      </c>
    </row>
    <row r="21" spans="2:15">
      <c r="B21" s="10"/>
      <c r="C21" s="10"/>
      <c r="D21" s="10"/>
      <c r="E21" s="10"/>
      <c r="F21" s="10"/>
      <c r="G21" s="10"/>
      <c r="H21" s="10"/>
      <c r="I21" s="10"/>
      <c r="L21" s="12"/>
      <c r="M21" s="12"/>
      <c r="N21" s="12"/>
      <c r="O21" s="10">
        <v>18</v>
      </c>
    </row>
    <row r="22" spans="2:15">
      <c r="B22" s="14"/>
      <c r="C22" s="14"/>
      <c r="D22" s="14"/>
      <c r="E22" s="14"/>
      <c r="F22" s="14"/>
      <c r="G22" s="14"/>
      <c r="H22" s="14"/>
      <c r="I22" s="14"/>
      <c r="L22" s="12"/>
      <c r="M22" s="12"/>
      <c r="N22" s="12"/>
      <c r="O22" s="10">
        <v>19</v>
      </c>
    </row>
    <row r="23" spans="2:15">
      <c r="B23" s="14"/>
      <c r="C23" s="14"/>
      <c r="D23" s="14"/>
      <c r="E23" s="14"/>
      <c r="F23" s="14"/>
      <c r="G23" s="14"/>
      <c r="H23" s="14"/>
      <c r="I23" s="14"/>
      <c r="L23" s="12"/>
      <c r="M23" s="12"/>
      <c r="N23" s="12"/>
      <c r="O23" s="10">
        <v>20</v>
      </c>
    </row>
    <row r="24" spans="2:15">
      <c r="B24" s="14"/>
      <c r="C24" s="14"/>
      <c r="D24" s="14"/>
      <c r="E24" s="14"/>
      <c r="F24" s="14"/>
      <c r="G24" s="14"/>
      <c r="H24" s="14"/>
      <c r="I24" s="14"/>
      <c r="L24" s="12"/>
      <c r="M24" s="12"/>
      <c r="N24" s="12"/>
      <c r="O24" s="10">
        <v>21</v>
      </c>
    </row>
    <row r="25" spans="2:15">
      <c r="B25" s="14"/>
      <c r="C25" s="14"/>
      <c r="D25" s="14"/>
      <c r="E25" s="14"/>
      <c r="F25" s="14"/>
      <c r="G25" s="14"/>
      <c r="H25" s="14"/>
      <c r="I25" s="14"/>
      <c r="L25" s="12"/>
      <c r="M25" s="12"/>
      <c r="N25" s="12"/>
      <c r="O25" s="10">
        <v>22</v>
      </c>
    </row>
    <row r="26" spans="2:15">
      <c r="B26" s="14"/>
      <c r="C26" s="14"/>
      <c r="D26" s="14"/>
      <c r="E26" s="14"/>
      <c r="F26" s="14"/>
      <c r="G26" s="14"/>
      <c r="H26" s="14"/>
      <c r="I26" s="14"/>
      <c r="L26" s="12"/>
      <c r="M26" s="12"/>
      <c r="N26" s="12"/>
      <c r="O26" s="10">
        <v>23</v>
      </c>
    </row>
    <row r="27" spans="2:15">
      <c r="B27" s="14"/>
      <c r="C27" s="14"/>
      <c r="D27" s="14"/>
      <c r="E27" s="14"/>
      <c r="F27" s="14"/>
      <c r="G27" s="14"/>
      <c r="H27" s="14"/>
      <c r="I27" s="14"/>
      <c r="L27" s="12"/>
      <c r="M27" s="12"/>
      <c r="N27" s="12"/>
      <c r="O27" s="10">
        <v>24</v>
      </c>
    </row>
    <row r="28" spans="2:15">
      <c r="B28" s="14"/>
      <c r="C28" s="14"/>
      <c r="D28" s="14"/>
      <c r="E28" s="14"/>
      <c r="F28" s="14"/>
      <c r="G28" s="14"/>
      <c r="H28" s="14"/>
      <c r="I28" s="14"/>
      <c r="L28" s="12"/>
      <c r="M28" s="12"/>
      <c r="N28" s="12"/>
      <c r="O28" s="10">
        <v>25</v>
      </c>
    </row>
    <row r="29" spans="2:15">
      <c r="L29" s="12"/>
      <c r="M29" s="12"/>
      <c r="N29" s="12"/>
      <c r="O29" s="10">
        <v>26</v>
      </c>
    </row>
    <row r="30" spans="2:15">
      <c r="L30" s="12"/>
      <c r="M30" s="12"/>
      <c r="N30" s="12"/>
      <c r="O30" s="10">
        <v>27</v>
      </c>
    </row>
    <row r="31" spans="2:15">
      <c r="L31" s="12"/>
      <c r="M31" s="12"/>
      <c r="N31" s="12"/>
      <c r="O31" s="10">
        <v>28</v>
      </c>
    </row>
    <row r="32" spans="2:15">
      <c r="L32" s="12"/>
      <c r="M32" s="12"/>
      <c r="N32" s="12"/>
      <c r="O32" s="10">
        <v>29</v>
      </c>
    </row>
    <row r="33" spans="12:15">
      <c r="L33" s="12"/>
      <c r="M33" s="12"/>
      <c r="N33" s="12"/>
      <c r="O33" s="10">
        <v>30</v>
      </c>
    </row>
    <row r="34" spans="12:15">
      <c r="L34" s="12"/>
      <c r="M34" s="12"/>
      <c r="N34" s="12"/>
      <c r="O34" s="10">
        <v>31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md대회접수">
          <controlPr defaultSize="0" autoLine="0" r:id="rId5">
            <anchor moveWithCells="1">
              <from>
                <xdr:col>9</xdr:col>
                <xdr:colOff>190500</xdr:colOff>
                <xdr:row>1</xdr:row>
                <xdr:rowOff>9525</xdr:rowOff>
              </from>
              <to>
                <xdr:col>10</xdr:col>
                <xdr:colOff>476250</xdr:colOff>
                <xdr:row>3</xdr:row>
                <xdr:rowOff>9525</xdr:rowOff>
              </to>
            </anchor>
          </controlPr>
        </control>
      </mc:Choice>
      <mc:Fallback>
        <control shapeId="3073" r:id="rId4" name="cmd대회접수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'기본작업-2'!Print_Area</vt:lpstr>
      <vt:lpstr>'기본작업-2'!Print_Titles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2019-07-11T01:11:28Z</cp:lastPrinted>
  <dcterms:created xsi:type="dcterms:W3CDTF">2019-04-13T03:00:03Z</dcterms:created>
  <dcterms:modified xsi:type="dcterms:W3CDTF">2019-09-06T10:52:06Z</dcterms:modified>
</cp:coreProperties>
</file>