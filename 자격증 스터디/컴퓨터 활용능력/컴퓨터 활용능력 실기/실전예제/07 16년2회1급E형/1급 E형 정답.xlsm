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35" windowWidth="26955" windowHeight="1300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'기본작업-2'!$B$2:$N$27</definedName>
    <definedName name="_xlnm.Criteria" localSheetId="1">'기본작업-2'!$B$29:$B$30</definedName>
    <definedName name="_xlnm.Extract" localSheetId="1">'기본작업-2'!$B$32:$F$32</definedName>
    <definedName name="MS_Access_Database_Query" localSheetId="3" hidden="1">'분석작업-1'!#REF!</definedName>
    <definedName name="MS_Access_Database_Query_1" localSheetId="0" hidden="1">'기본작업-1'!#REF!</definedName>
  </definedNames>
  <calcPr calcId="145621"/>
  <pivotCaches>
    <pivotCache cacheId="12" r:id="rId8"/>
  </pivotCaches>
</workbook>
</file>

<file path=xl/calcChain.xml><?xml version="1.0" encoding="utf-8"?>
<calcChain xmlns="http://schemas.openxmlformats.org/spreadsheetml/2006/main">
  <c r="B9" i="5" l="1"/>
  <c r="G4" i="5" l="1"/>
  <c r="D30" i="3"/>
  <c r="A30" i="3"/>
  <c r="D29" i="3"/>
  <c r="A29" i="3"/>
  <c r="D28" i="3"/>
  <c r="A28" i="3"/>
  <c r="D27" i="3"/>
  <c r="A27" i="3"/>
  <c r="D26" i="3"/>
  <c r="A26" i="3"/>
  <c r="D25" i="3"/>
  <c r="A25" i="3"/>
  <c r="D24" i="3"/>
  <c r="A24" i="3"/>
  <c r="D23" i="3"/>
  <c r="A23" i="3"/>
  <c r="M26" i="3"/>
  <c r="M24" i="3"/>
  <c r="M22" i="3"/>
  <c r="M22" i="3" a="1"/>
  <c r="M23" i="3" s="1"/>
  <c r="D22" i="3"/>
  <c r="A22" i="3"/>
  <c r="D21" i="3"/>
  <c r="A21" i="3"/>
  <c r="D20" i="3"/>
  <c r="A20" i="3"/>
  <c r="D19" i="3"/>
  <c r="A19" i="3"/>
  <c r="L18" i="3"/>
  <c r="L18" i="3" a="1"/>
  <c r="D18" i="3"/>
  <c r="A18" i="3"/>
  <c r="L17" i="3" a="1"/>
  <c r="L17" i="3" s="1"/>
  <c r="D17" i="3"/>
  <c r="A17" i="3"/>
  <c r="L16" i="3"/>
  <c r="L16" i="3" a="1"/>
  <c r="D16" i="3"/>
  <c r="A16" i="3"/>
  <c r="D15" i="3"/>
  <c r="A15" i="3"/>
  <c r="D14" i="3"/>
  <c r="A14" i="3"/>
  <c r="D13" i="3"/>
  <c r="A13" i="3"/>
  <c r="D12" i="3"/>
  <c r="A12" i="3"/>
  <c r="D11" i="3"/>
  <c r="A11" i="3"/>
  <c r="D10" i="3"/>
  <c r="A10" i="3"/>
  <c r="D9" i="3"/>
  <c r="A9" i="3"/>
  <c r="D8" i="3"/>
  <c r="A8" i="3"/>
  <c r="D7" i="3"/>
  <c r="A7" i="3"/>
  <c r="D6" i="3"/>
  <c r="A6" i="3"/>
  <c r="D5" i="3"/>
  <c r="A5" i="3"/>
  <c r="D4" i="3"/>
  <c r="A4" i="3"/>
  <c r="B30" i="2"/>
  <c r="I29" i="3"/>
  <c r="I25" i="3"/>
  <c r="I19" i="3"/>
  <c r="I13" i="3"/>
  <c r="I9" i="3"/>
  <c r="I5" i="3"/>
  <c r="I30" i="3"/>
  <c r="I26" i="3"/>
  <c r="I20" i="3"/>
  <c r="I18" i="3"/>
  <c r="I14" i="3"/>
  <c r="I10" i="3"/>
  <c r="I6" i="3"/>
  <c r="I27" i="3"/>
  <c r="I23" i="3"/>
  <c r="I21" i="3"/>
  <c r="I17" i="3"/>
  <c r="I15" i="3"/>
  <c r="I11" i="3"/>
  <c r="I7" i="3"/>
  <c r="I28" i="3"/>
  <c r="I24" i="3"/>
  <c r="I22" i="3"/>
  <c r="I16" i="3"/>
  <c r="I12" i="3"/>
  <c r="I8" i="3"/>
  <c r="I4" i="3"/>
  <c r="M25" i="3" l="1"/>
</calcChain>
</file>

<file path=xl/sharedStrings.xml><?xml version="1.0" encoding="utf-8"?>
<sst xmlns="http://schemas.openxmlformats.org/spreadsheetml/2006/main" count="322" uniqueCount="193">
  <si>
    <t>[표1]</t>
    <phoneticPr fontId="2" type="noConversion"/>
  </si>
  <si>
    <t>지점명</t>
    <phoneticPr fontId="2" type="noConversion"/>
  </si>
  <si>
    <t>1월</t>
    <phoneticPr fontId="2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</si>
  <si>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</si>
  <si>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</si>
  <si>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</si>
  <si>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</si>
  <si>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</si>
  <si>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</si>
  <si>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</si>
  <si>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</si>
  <si>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</si>
  <si>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</si>
  <si>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</si>
  <si>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대구</t>
    <phoneticPr fontId="2" type="noConversion"/>
  </si>
  <si>
    <t>서울</t>
    <phoneticPr fontId="2" type="noConversion"/>
  </si>
  <si>
    <t>여의도</t>
    <phoneticPr fontId="2" type="noConversion"/>
  </si>
  <si>
    <t>종로</t>
    <phoneticPr fontId="2" type="noConversion"/>
  </si>
  <si>
    <t>부산</t>
    <phoneticPr fontId="2" type="noConversion"/>
  </si>
  <si>
    <t>과천</t>
    <phoneticPr fontId="2" type="noConversion"/>
  </si>
  <si>
    <t>영등포</t>
    <phoneticPr fontId="2" type="noConversion"/>
  </si>
  <si>
    <t>대전</t>
    <phoneticPr fontId="2" type="noConversion"/>
  </si>
  <si>
    <t>안산</t>
    <phoneticPr fontId="2" type="noConversion"/>
  </si>
  <si>
    <t>신촌</t>
    <phoneticPr fontId="2" type="noConversion"/>
  </si>
  <si>
    <t>해운대</t>
    <phoneticPr fontId="2" type="noConversion"/>
  </si>
  <si>
    <t>광주</t>
    <phoneticPr fontId="2" type="noConversion"/>
  </si>
  <si>
    <t>동대구</t>
    <phoneticPr fontId="2" type="noConversion"/>
  </si>
  <si>
    <t>잠실</t>
    <phoneticPr fontId="2" type="noConversion"/>
  </si>
  <si>
    <t>월미도</t>
    <phoneticPr fontId="2" type="noConversion"/>
  </si>
  <si>
    <t>의정부</t>
    <phoneticPr fontId="2" type="noConversion"/>
  </si>
  <si>
    <t>강릉</t>
    <phoneticPr fontId="2" type="noConversion"/>
  </si>
  <si>
    <t>수원</t>
    <phoneticPr fontId="2" type="noConversion"/>
  </si>
  <si>
    <t>천안</t>
    <phoneticPr fontId="2" type="noConversion"/>
  </si>
  <si>
    <t>충주</t>
    <phoneticPr fontId="2" type="noConversion"/>
  </si>
  <si>
    <t>원주</t>
    <phoneticPr fontId="2" type="noConversion"/>
  </si>
  <si>
    <t>울산</t>
    <phoneticPr fontId="2" type="noConversion"/>
  </si>
  <si>
    <t>목포</t>
    <phoneticPr fontId="2" type="noConversion"/>
  </si>
  <si>
    <t>대부도</t>
    <phoneticPr fontId="2" type="noConversion"/>
  </si>
  <si>
    <t>방배</t>
    <phoneticPr fontId="2" type="noConversion"/>
  </si>
  <si>
    <t>조건</t>
    <phoneticPr fontId="2" type="noConversion"/>
  </si>
  <si>
    <t>9월</t>
    <phoneticPr fontId="2" type="noConversion"/>
  </si>
  <si>
    <t>[표1]</t>
    <phoneticPr fontId="2" type="noConversion"/>
  </si>
  <si>
    <t>[표2]</t>
    <phoneticPr fontId="2" type="noConversion"/>
  </si>
  <si>
    <t>번호</t>
    <phoneticPr fontId="2" type="noConversion"/>
  </si>
  <si>
    <t>지역</t>
    <phoneticPr fontId="2" type="noConversion"/>
  </si>
  <si>
    <t>전용면적</t>
    <phoneticPr fontId="2" type="noConversion"/>
  </si>
  <si>
    <t>청약가능액</t>
    <phoneticPr fontId="2" type="noConversion"/>
  </si>
  <si>
    <t>현재예치금</t>
    <phoneticPr fontId="2" type="noConversion"/>
  </si>
  <si>
    <t>무주택</t>
    <phoneticPr fontId="2" type="noConversion"/>
  </si>
  <si>
    <t>부양가족수</t>
    <phoneticPr fontId="2" type="noConversion"/>
  </si>
  <si>
    <t>가입년수</t>
    <phoneticPr fontId="2" type="noConversion"/>
  </si>
  <si>
    <t>가산점</t>
    <phoneticPr fontId="2" type="noConversion"/>
  </si>
  <si>
    <t>코드</t>
    <phoneticPr fontId="2" type="noConversion"/>
  </si>
  <si>
    <t>서울, 부산</t>
    <phoneticPr fontId="2" type="noConversion"/>
  </si>
  <si>
    <t>서울, 부산</t>
    <phoneticPr fontId="2" type="noConversion"/>
  </si>
  <si>
    <t>SB</t>
    <phoneticPr fontId="2" type="noConversion"/>
  </si>
  <si>
    <t>기타광역시</t>
    <phoneticPr fontId="2" type="noConversion"/>
  </si>
  <si>
    <t>기타광역시</t>
    <phoneticPr fontId="2" type="noConversion"/>
  </si>
  <si>
    <t>KY</t>
    <phoneticPr fontId="2" type="noConversion"/>
  </si>
  <si>
    <t>기타지역</t>
    <phoneticPr fontId="2" type="noConversion"/>
  </si>
  <si>
    <t>KT</t>
    <phoneticPr fontId="2" type="noConversion"/>
  </si>
  <si>
    <t>서울, 부산</t>
    <phoneticPr fontId="2" type="noConversion"/>
  </si>
  <si>
    <t>[표3] 청약가능액</t>
    <phoneticPr fontId="2" type="noConversion"/>
  </si>
  <si>
    <t>기타광역시</t>
    <phoneticPr fontId="2" type="noConversion"/>
  </si>
  <si>
    <t>지역</t>
    <phoneticPr fontId="2" type="noConversion"/>
  </si>
  <si>
    <t>기타광역시</t>
    <phoneticPr fontId="2" type="noConversion"/>
  </si>
  <si>
    <t>기타지역</t>
    <phoneticPr fontId="2" type="noConversion"/>
  </si>
  <si>
    <t>기타광역시</t>
    <phoneticPr fontId="2" type="noConversion"/>
  </si>
  <si>
    <t>기타지역</t>
    <phoneticPr fontId="2" type="noConversion"/>
  </si>
  <si>
    <t>기타지역</t>
    <phoneticPr fontId="2" type="noConversion"/>
  </si>
  <si>
    <t>[표4] 지역별 무주택 평균</t>
    <phoneticPr fontId="2" type="noConversion"/>
  </si>
  <si>
    <t>서울, 부산</t>
    <phoneticPr fontId="2" type="noConversion"/>
  </si>
  <si>
    <t>무주택 평균</t>
    <phoneticPr fontId="2" type="noConversion"/>
  </si>
  <si>
    <t>기타광역시</t>
    <phoneticPr fontId="2" type="noConversion"/>
  </si>
  <si>
    <t>서울, 부산</t>
    <phoneticPr fontId="2" type="noConversion"/>
  </si>
  <si>
    <t>기타광역시</t>
    <phoneticPr fontId="2" type="noConversion"/>
  </si>
  <si>
    <t>기타지역</t>
    <phoneticPr fontId="2" type="noConversion"/>
  </si>
  <si>
    <t>서울, 부산</t>
    <phoneticPr fontId="2" type="noConversion"/>
  </si>
  <si>
    <t>서울, 부산</t>
    <phoneticPr fontId="2" type="noConversion"/>
  </si>
  <si>
    <t>[표5] 현재예치금 비율</t>
    <phoneticPr fontId="2" type="noConversion"/>
  </si>
  <si>
    <t>기타지역</t>
    <phoneticPr fontId="2" type="noConversion"/>
  </si>
  <si>
    <t>현재예치금</t>
    <phoneticPr fontId="2" type="noConversion"/>
  </si>
  <si>
    <t>비율</t>
    <phoneticPr fontId="2" type="noConversion"/>
  </si>
  <si>
    <t>서울, 부산</t>
    <phoneticPr fontId="2" type="noConversion"/>
  </si>
  <si>
    <t>기타광역시</t>
    <phoneticPr fontId="2" type="noConversion"/>
  </si>
  <si>
    <t>서울, 부산</t>
    <phoneticPr fontId="2" type="noConversion"/>
  </si>
  <si>
    <t>기타광역시</t>
    <phoneticPr fontId="2" type="noConversion"/>
  </si>
  <si>
    <t>기타지역</t>
    <phoneticPr fontId="2" type="noConversion"/>
  </si>
  <si>
    <t>서울, 부산</t>
    <phoneticPr fontId="2" type="noConversion"/>
  </si>
  <si>
    <t>[표1]</t>
    <phoneticPr fontId="2" type="noConversion"/>
  </si>
  <si>
    <t>과목</t>
    <phoneticPr fontId="2" type="noConversion"/>
  </si>
  <si>
    <t>국어</t>
    <phoneticPr fontId="2" type="noConversion"/>
  </si>
  <si>
    <t>수학</t>
    <phoneticPr fontId="2" type="noConversion"/>
  </si>
  <si>
    <t>사회</t>
    <phoneticPr fontId="2" type="noConversion"/>
  </si>
  <si>
    <t>과학</t>
    <phoneticPr fontId="2" type="noConversion"/>
  </si>
  <si>
    <t>총점</t>
    <phoneticPr fontId="2" type="noConversion"/>
  </si>
  <si>
    <t>표준평균</t>
    <phoneticPr fontId="2" type="noConversion"/>
  </si>
  <si>
    <t>반영비율</t>
    <phoneticPr fontId="2" type="noConversion"/>
  </si>
  <si>
    <t>[표2] 국어와 사회 점수별 총점</t>
    <phoneticPr fontId="2" type="noConversion"/>
  </si>
  <si>
    <t>국 어 점 수</t>
    <phoneticPr fontId="2" type="noConversion"/>
  </si>
  <si>
    <t>사</t>
    <phoneticPr fontId="2" type="noConversion"/>
  </si>
  <si>
    <t>회</t>
    <phoneticPr fontId="2" type="noConversion"/>
  </si>
  <si>
    <t>점</t>
    <phoneticPr fontId="2" type="noConversion"/>
  </si>
  <si>
    <t>수</t>
    <phoneticPr fontId="2" type="noConversion"/>
  </si>
  <si>
    <t>[표1] 개나리 개화 시기</t>
    <phoneticPr fontId="2" type="noConversion"/>
  </si>
  <si>
    <t>[표2] 진달래 개화 시기</t>
    <phoneticPr fontId="2" type="noConversion"/>
  </si>
  <si>
    <t>[표3] 벚꽃 개화 시기</t>
    <phoneticPr fontId="2" type="noConversion"/>
  </si>
  <si>
    <t>지역</t>
    <phoneticPr fontId="2" type="noConversion"/>
  </si>
  <si>
    <t>2016년</t>
    <phoneticPr fontId="2" type="noConversion"/>
  </si>
  <si>
    <t>평년</t>
    <phoneticPr fontId="2" type="noConversion"/>
  </si>
  <si>
    <t>서귀포</t>
    <phoneticPr fontId="2" type="noConversion"/>
  </si>
  <si>
    <t>부산</t>
    <phoneticPr fontId="2" type="noConversion"/>
  </si>
  <si>
    <t>광주</t>
    <phoneticPr fontId="2" type="noConversion"/>
  </si>
  <si>
    <t>전주</t>
    <phoneticPr fontId="2" type="noConversion"/>
  </si>
  <si>
    <t>대구</t>
    <phoneticPr fontId="2" type="noConversion"/>
  </si>
  <si>
    <t>대전</t>
    <phoneticPr fontId="2" type="noConversion"/>
  </si>
  <si>
    <t>청주</t>
    <phoneticPr fontId="2" type="noConversion"/>
  </si>
  <si>
    <t>수원</t>
    <phoneticPr fontId="2" type="noConversion"/>
  </si>
  <si>
    <t>서울</t>
    <phoneticPr fontId="2" type="noConversion"/>
  </si>
  <si>
    <t>인천</t>
    <phoneticPr fontId="2" type="noConversion"/>
  </si>
  <si>
    <t>[표1]</t>
    <phoneticPr fontId="2" type="noConversion"/>
  </si>
  <si>
    <t>[표2]</t>
    <phoneticPr fontId="2" type="noConversion"/>
  </si>
  <si>
    <t>분야</t>
    <phoneticPr fontId="2" type="noConversion"/>
  </si>
  <si>
    <t>구분</t>
    <phoneticPr fontId="2" type="noConversion"/>
  </si>
  <si>
    <t>제목</t>
    <phoneticPr fontId="2" type="noConversion"/>
  </si>
  <si>
    <t>정가</t>
    <phoneticPr fontId="2" type="noConversion"/>
  </si>
  <si>
    <t>저자</t>
    <phoneticPr fontId="2" type="noConversion"/>
  </si>
  <si>
    <t>출판사</t>
    <phoneticPr fontId="2" type="noConversion"/>
  </si>
  <si>
    <t>발행연도</t>
    <phoneticPr fontId="2" type="noConversion"/>
  </si>
  <si>
    <t>자기개발</t>
  </si>
  <si>
    <t>국내서</t>
  </si>
  <si>
    <t>컴퓨터활용능력 1급 실기</t>
  </si>
  <si>
    <t>길벗알앤디</t>
  </si>
  <si>
    <t>길벗출판사</t>
  </si>
  <si>
    <t>2016</t>
  </si>
  <si>
    <t>유아/어린이</t>
    <phoneticPr fontId="2" type="noConversion"/>
  </si>
  <si>
    <t>소설/시</t>
    <phoneticPr fontId="2" type="noConversion"/>
  </si>
  <si>
    <t>인문/사회</t>
    <phoneticPr fontId="2" type="noConversion"/>
  </si>
  <si>
    <t>경제/경영</t>
    <phoneticPr fontId="2" type="noConversion"/>
  </si>
  <si>
    <t>자연/과학</t>
    <phoneticPr fontId="2" type="noConversion"/>
  </si>
  <si>
    <t>자기개발</t>
    <phoneticPr fontId="2" type="noConversion"/>
  </si>
  <si>
    <t>지역</t>
  </si>
  <si>
    <t>전용면적</t>
  </si>
  <si>
    <t>청약가능액</t>
  </si>
  <si>
    <t>현재예치금</t>
  </si>
  <si>
    <t>무주택</t>
  </si>
  <si>
    <t>인천광역시</t>
  </si>
  <si>
    <t>135㎡ 이하</t>
  </si>
  <si>
    <t>울산광역시</t>
  </si>
  <si>
    <t>85㎡ 이하</t>
  </si>
  <si>
    <t>서울특별시</t>
  </si>
  <si>
    <t>135㎡ 초과</t>
  </si>
  <si>
    <t>부산광역시</t>
  </si>
  <si>
    <t>102㎡ 이하</t>
  </si>
  <si>
    <t>대전광역시</t>
  </si>
  <si>
    <t>번호</t>
  </si>
  <si>
    <t>SB-1</t>
  </si>
  <si>
    <t>KY-2</t>
  </si>
  <si>
    <t>KT-3</t>
  </si>
  <si>
    <t>안산시</t>
  </si>
  <si>
    <t>SB-4</t>
  </si>
  <si>
    <t>SB-5</t>
  </si>
  <si>
    <t>KY-6</t>
  </si>
  <si>
    <t>KY-7</t>
  </si>
  <si>
    <t>KT-8</t>
  </si>
  <si>
    <t>수원시</t>
  </si>
  <si>
    <t>KT-9</t>
  </si>
  <si>
    <t>KY-10</t>
  </si>
  <si>
    <t>KT-11</t>
  </si>
  <si>
    <t>부천시</t>
  </si>
  <si>
    <t>SB-12</t>
  </si>
  <si>
    <t>KY-13</t>
  </si>
  <si>
    <t>SB-14</t>
  </si>
  <si>
    <t>KT-15</t>
  </si>
  <si>
    <t>SB-16</t>
  </si>
  <si>
    <t>SB-17</t>
  </si>
  <si>
    <t>KT-18</t>
  </si>
  <si>
    <t>안양시</t>
  </si>
  <si>
    <t>SB-19</t>
  </si>
  <si>
    <t>KY-20</t>
  </si>
  <si>
    <t>KT-21</t>
  </si>
  <si>
    <t>SB-22</t>
  </si>
  <si>
    <t>KY-23</t>
  </si>
  <si>
    <t>KT-24</t>
  </si>
  <si>
    <t>SB-25</t>
  </si>
  <si>
    <t>KY-26</t>
  </si>
  <si>
    <t>KY-27</t>
  </si>
  <si>
    <t>총합계</t>
  </si>
  <si>
    <t>합계 : 현재예치금</t>
  </si>
  <si>
    <t>지역2</t>
  </si>
  <si>
    <t>기타광역시</t>
  </si>
  <si>
    <t>서울, 부산</t>
  </si>
  <si>
    <t>기타지역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</si>
</sst>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&quot;㎡&quot;"/>
    <numFmt numFmtId="177" formatCode="0&quot;㎡ 이상&quot;"/>
    <numFmt numFmtId="178" formatCode="0\ \~"/>
    <numFmt numFmtId="179" formatCode="0.0_ "/>
    <numFmt numFmtId="180" formatCode="mm&quot;월&quot;\ dd&quot;일&quot;"/>
    <numFmt numFmtId="181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3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177" fontId="0" fillId="0" borderId="1" xfId="0" applyNumberFormat="1" applyBorder="1">
      <alignment vertical="center"/>
    </xf>
    <xf numFmtId="177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76" fontId="0" fillId="2" borderId="1" xfId="0" applyNumberFormat="1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1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3" fillId="3" borderId="2" xfId="2" applyFont="1" applyFill="1" applyBorder="1" applyAlignment="1">
      <alignment horizontal="center"/>
    </xf>
    <xf numFmtId="0" fontId="3" fillId="0" borderId="3" xfId="2" applyFont="1" applyFill="1" applyBorder="1" applyAlignment="1">
      <alignment wrapText="1"/>
    </xf>
    <xf numFmtId="0" fontId="3" fillId="0" borderId="3" xfId="2" applyFont="1" applyFill="1" applyBorder="1" applyAlignment="1">
      <alignment horizontal="right" wrapText="1"/>
    </xf>
    <xf numFmtId="0" fontId="0" fillId="0" borderId="0" xfId="0" pivotButton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5" fillId="4" borderId="7" xfId="0" applyFont="1" applyFill="1" applyBorder="1">
      <alignment vertical="center"/>
    </xf>
    <xf numFmtId="0" fontId="5" fillId="4" borderId="8" xfId="0" applyFont="1" applyFill="1" applyBorder="1">
      <alignment vertical="center"/>
    </xf>
    <xf numFmtId="0" fontId="5" fillId="4" borderId="9" xfId="0" applyFont="1" applyFill="1" applyBorder="1">
      <alignment vertical="center"/>
    </xf>
    <xf numFmtId="0" fontId="0" fillId="5" borderId="7" xfId="0" applyFont="1" applyFill="1" applyBorder="1">
      <alignment vertical="center"/>
    </xf>
    <xf numFmtId="0" fontId="0" fillId="5" borderId="8" xfId="0" applyFont="1" applyFill="1" applyBorder="1">
      <alignment vertical="center"/>
    </xf>
    <xf numFmtId="0" fontId="0" fillId="5" borderId="9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</cellXfs>
  <cellStyles count="3">
    <cellStyle name="백분율" xfId="1" builtinId="5"/>
    <cellStyle name="표준" xfId="0" builtinId="0"/>
    <cellStyle name="표준_분석작업-1" xfId="2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봄꽃 개화시기</a:t>
            </a:r>
          </a:p>
        </c:rich>
      </c:tx>
      <c:layout/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개나리</c:v>
          </c:tx>
          <c:spPr>
            <a:gradFill rotWithShape="1">
              <a:gsLst>
                <a:gs pos="0">
                  <a:schemeClr val="accent4">
                    <a:tint val="50000"/>
                    <a:satMod val="300000"/>
                  </a:schemeClr>
                </a:gs>
                <a:gs pos="35000">
                  <a:schemeClr val="accent4">
                    <a:tint val="37000"/>
                    <a:satMod val="300000"/>
                  </a:schemeClr>
                </a:gs>
                <a:gs pos="100000">
                  <a:schemeClr val="accent4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strRef>
              <c:f>'기타작업-1'!$B$4:$B$13</c:f>
              <c:strCache>
                <c:ptCount val="10"/>
                <c:pt idx="0">
                  <c:v>서귀포</c:v>
                </c:pt>
                <c:pt idx="1">
                  <c:v>부산</c:v>
                </c:pt>
                <c:pt idx="2">
                  <c:v>광주</c:v>
                </c:pt>
                <c:pt idx="3">
                  <c:v>전주</c:v>
                </c:pt>
                <c:pt idx="4">
                  <c:v>대구</c:v>
                </c:pt>
                <c:pt idx="5">
                  <c:v>대전</c:v>
                </c:pt>
                <c:pt idx="6">
                  <c:v>청주</c:v>
                </c:pt>
                <c:pt idx="7">
                  <c:v>수원</c:v>
                </c:pt>
                <c:pt idx="8">
                  <c:v>서울</c:v>
                </c:pt>
                <c:pt idx="9">
                  <c:v>인천</c:v>
                </c:pt>
              </c:strCache>
            </c:strRef>
          </c:cat>
          <c:val>
            <c:numRef>
              <c:f>'기타작업-1'!$C$4:$C$13</c:f>
              <c:numCache>
                <c:formatCode>mm"월"\ dd"일"</c:formatCode>
                <c:ptCount val="10"/>
                <c:pt idx="0">
                  <c:v>42444</c:v>
                </c:pt>
                <c:pt idx="1">
                  <c:v>42445</c:v>
                </c:pt>
                <c:pt idx="2">
                  <c:v>42448</c:v>
                </c:pt>
                <c:pt idx="3">
                  <c:v>42452</c:v>
                </c:pt>
                <c:pt idx="4">
                  <c:v>42445</c:v>
                </c:pt>
                <c:pt idx="5">
                  <c:v>42452</c:v>
                </c:pt>
                <c:pt idx="6">
                  <c:v>42456</c:v>
                </c:pt>
                <c:pt idx="7">
                  <c:v>42458</c:v>
                </c:pt>
                <c:pt idx="8">
                  <c:v>42456</c:v>
                </c:pt>
                <c:pt idx="9">
                  <c:v>42462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23584"/>
        <c:axId val="104725120"/>
      </c:areaChart>
      <c:lineChart>
        <c:grouping val="standard"/>
        <c:varyColors val="0"/>
        <c:ser>
          <c:idx val="1"/>
          <c:order val="1"/>
          <c:tx>
            <c:v>벚꽃</c:v>
          </c:tx>
          <c:marker>
            <c:symbol val="circle"/>
            <c:size val="7"/>
          </c:marker>
          <c:dLbls>
            <c:dLbl>
              <c:idx val="3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'기타작업-1'!$B$4:$B$13</c:f>
              <c:strCache>
                <c:ptCount val="10"/>
                <c:pt idx="0">
                  <c:v>서귀포</c:v>
                </c:pt>
                <c:pt idx="1">
                  <c:v>부산</c:v>
                </c:pt>
                <c:pt idx="2">
                  <c:v>광주</c:v>
                </c:pt>
                <c:pt idx="3">
                  <c:v>전주</c:v>
                </c:pt>
                <c:pt idx="4">
                  <c:v>대구</c:v>
                </c:pt>
                <c:pt idx="5">
                  <c:v>대전</c:v>
                </c:pt>
                <c:pt idx="6">
                  <c:v>청주</c:v>
                </c:pt>
                <c:pt idx="7">
                  <c:v>수원</c:v>
                </c:pt>
                <c:pt idx="8">
                  <c:v>서울</c:v>
                </c:pt>
                <c:pt idx="9">
                  <c:v>인천</c:v>
                </c:pt>
              </c:strCache>
            </c:strRef>
          </c:cat>
          <c:val>
            <c:numRef>
              <c:f>'기타작업-1'!$K$4:$K$13</c:f>
              <c:numCache>
                <c:formatCode>mm"월"\ dd"일"</c:formatCode>
                <c:ptCount val="10"/>
                <c:pt idx="0">
                  <c:v>42452</c:v>
                </c:pt>
                <c:pt idx="1">
                  <c:v>42455</c:v>
                </c:pt>
                <c:pt idx="2">
                  <c:v>42458</c:v>
                </c:pt>
                <c:pt idx="3">
                  <c:v>42460</c:v>
                </c:pt>
                <c:pt idx="4">
                  <c:v>42455</c:v>
                </c:pt>
                <c:pt idx="5">
                  <c:v>42460</c:v>
                </c:pt>
                <c:pt idx="6">
                  <c:v>42463</c:v>
                </c:pt>
                <c:pt idx="7">
                  <c:v>42467</c:v>
                </c:pt>
                <c:pt idx="8">
                  <c:v>42466</c:v>
                </c:pt>
                <c:pt idx="9">
                  <c:v>42469</c:v>
                </c:pt>
              </c:numCache>
            </c:numRef>
          </c:val>
          <c:smooth val="1"/>
        </c:ser>
        <c:ser>
          <c:idx val="2"/>
          <c:order val="2"/>
          <c:tx>
            <c:v>진달래</c:v>
          </c:tx>
          <c:val>
            <c:numRef>
              <c:f>'기타작업-1'!$G$4:$G$13</c:f>
              <c:numCache>
                <c:formatCode>mm"월"\ dd"일"</c:formatCode>
                <c:ptCount val="10"/>
                <c:pt idx="0">
                  <c:v>42445</c:v>
                </c:pt>
                <c:pt idx="1">
                  <c:v>42447</c:v>
                </c:pt>
                <c:pt idx="2">
                  <c:v>42456</c:v>
                </c:pt>
                <c:pt idx="3">
                  <c:v>42457</c:v>
                </c:pt>
                <c:pt idx="4">
                  <c:v>42453</c:v>
                </c:pt>
                <c:pt idx="5">
                  <c:v>42456</c:v>
                </c:pt>
                <c:pt idx="6">
                  <c:v>42461</c:v>
                </c:pt>
                <c:pt idx="7">
                  <c:v>42459</c:v>
                </c:pt>
                <c:pt idx="8">
                  <c:v>42456</c:v>
                </c:pt>
                <c:pt idx="9">
                  <c:v>42464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23584"/>
        <c:axId val="104725120"/>
      </c:lineChart>
      <c:catAx>
        <c:axId val="10472358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04725120"/>
        <c:crosses val="autoZero"/>
        <c:auto val="1"/>
        <c:lblAlgn val="ctr"/>
        <c:lblOffset val="100"/>
        <c:noMultiLvlLbl val="0"/>
      </c:catAx>
      <c:valAx>
        <c:axId val="104725120"/>
        <c:scaling>
          <c:orientation val="minMax"/>
        </c:scaling>
        <c:delete val="0"/>
        <c:axPos val="l"/>
        <c:majorGridlines/>
        <c:numFmt formatCode="mm&quot;월&quot;\ dd&quot;일&quot;" sourceLinked="1"/>
        <c:majorTickMark val="out"/>
        <c:minorTickMark val="none"/>
        <c:tickLblPos val="nextTo"/>
        <c:crossAx val="104723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데이터표" textlink="">
      <xdr:nvSpPr>
        <xdr:cNvPr id="2" name="빗면 1"/>
        <xdr:cNvSpPr/>
      </xdr:nvSpPr>
      <xdr:spPr>
        <a:xfrm>
          <a:off x="3971925" y="419100"/>
          <a:ext cx="1285875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데이터표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14</xdr:row>
      <xdr:rowOff>0</xdr:rowOff>
    </xdr:from>
    <xdr:to>
      <xdr:col>10</xdr:col>
      <xdr:colOff>790574</xdr:colOff>
      <xdr:row>33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0</xdr:row>
          <xdr:rowOff>57150</xdr:rowOff>
        </xdr:from>
        <xdr:to>
          <xdr:col>7</xdr:col>
          <xdr:colOff>228600</xdr:colOff>
          <xdr:row>2</xdr:row>
          <xdr:rowOff>47625</xdr:rowOff>
        </xdr:to>
        <xdr:sp macro="" textlink="">
          <xdr:nvSpPr>
            <xdr:cNvPr id="3073" name="cmd도서등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8.443450694445" createdVersion="4" refreshedVersion="4" minRefreshableVersion="3" recordCount="27">
  <cacheSource type="worksheet">
    <worksheetSource ref="A2:E29" sheet="분석작업-1"/>
  </cacheSource>
  <cacheFields count="6">
    <cacheField name="번호" numFmtId="0">
      <sharedItems/>
    </cacheField>
    <cacheField name="지역" numFmtId="0">
      <sharedItems count="9">
        <s v="서울특별시"/>
        <s v="인천광역시"/>
        <s v="안산시"/>
        <s v="부산광역시"/>
        <s v="대전광역시"/>
        <s v="수원시"/>
        <s v="울산광역시"/>
        <s v="부천시"/>
        <s v="안양시"/>
      </sharedItems>
      <fieldGroup par="5"/>
    </cacheField>
    <cacheField name="전용면적" numFmtId="0">
      <sharedItems count="4">
        <s v="85㎡ 이하"/>
        <s v="135㎡ 이하"/>
        <s v="102㎡ 이하"/>
        <s v="135㎡ 초과"/>
      </sharedItems>
    </cacheField>
    <cacheField name="청약가능액" numFmtId="0">
      <sharedItems containsSemiMixedTypes="0" containsString="0" containsNumber="1" containsInteger="1" minValue="200" maxValue="1500"/>
    </cacheField>
    <cacheField name="현재예치금" numFmtId="0">
      <sharedItems containsSemiMixedTypes="0" containsString="0" containsNumber="1" containsInteger="1" minValue="100" maxValue="2000"/>
    </cacheField>
    <cacheField name="지역2" numFmtId="0" databaseField="0">
      <fieldGroup base="1">
        <discretePr count="9">
          <x v="1"/>
          <x v="0"/>
          <x v="2"/>
          <x v="1"/>
          <x v="0"/>
          <x v="2"/>
          <x v="0"/>
          <x v="2"/>
          <x v="2"/>
        </discretePr>
        <groupItems count="3">
          <s v="그룹1"/>
          <s v="그룹2"/>
          <s v="그룹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s v="SB-1"/>
    <x v="0"/>
    <x v="0"/>
    <n v="300"/>
    <n v="250"/>
  </r>
  <r>
    <s v="KY-2"/>
    <x v="1"/>
    <x v="1"/>
    <n v="700"/>
    <n v="800"/>
  </r>
  <r>
    <s v="KT-3"/>
    <x v="2"/>
    <x v="0"/>
    <n v="200"/>
    <n v="200"/>
  </r>
  <r>
    <s v="SB-4"/>
    <x v="3"/>
    <x v="1"/>
    <n v="1000"/>
    <n v="1500"/>
  </r>
  <r>
    <s v="SB-5"/>
    <x v="0"/>
    <x v="2"/>
    <n v="600"/>
    <n v="550"/>
  </r>
  <r>
    <s v="KY-6"/>
    <x v="4"/>
    <x v="2"/>
    <n v="400"/>
    <n v="400"/>
  </r>
  <r>
    <s v="KY-7"/>
    <x v="1"/>
    <x v="0"/>
    <n v="250"/>
    <n v="300"/>
  </r>
  <r>
    <s v="KT-8"/>
    <x v="5"/>
    <x v="2"/>
    <n v="300"/>
    <n v="250"/>
  </r>
  <r>
    <s v="KT-9"/>
    <x v="2"/>
    <x v="0"/>
    <n v="200"/>
    <n v="350"/>
  </r>
  <r>
    <s v="KY-10"/>
    <x v="6"/>
    <x v="0"/>
    <n v="250"/>
    <n v="300"/>
  </r>
  <r>
    <s v="KT-11"/>
    <x v="7"/>
    <x v="0"/>
    <n v="200"/>
    <n v="100"/>
  </r>
  <r>
    <s v="SB-12"/>
    <x v="0"/>
    <x v="3"/>
    <n v="1500"/>
    <n v="2000"/>
  </r>
  <r>
    <s v="KY-13"/>
    <x v="4"/>
    <x v="1"/>
    <n v="700"/>
    <n v="500"/>
  </r>
  <r>
    <s v="SB-14"/>
    <x v="3"/>
    <x v="1"/>
    <n v="1000"/>
    <n v="800"/>
  </r>
  <r>
    <s v="KT-15"/>
    <x v="7"/>
    <x v="2"/>
    <n v="300"/>
    <n v="250"/>
  </r>
  <r>
    <s v="SB-16"/>
    <x v="0"/>
    <x v="0"/>
    <n v="300"/>
    <n v="450"/>
  </r>
  <r>
    <s v="SB-17"/>
    <x v="0"/>
    <x v="1"/>
    <n v="1000"/>
    <n v="1500"/>
  </r>
  <r>
    <s v="KT-18"/>
    <x v="8"/>
    <x v="1"/>
    <n v="400"/>
    <n v="500"/>
  </r>
  <r>
    <s v="SB-19"/>
    <x v="3"/>
    <x v="2"/>
    <n v="600"/>
    <n v="500"/>
  </r>
  <r>
    <s v="KY-20"/>
    <x v="1"/>
    <x v="2"/>
    <n v="400"/>
    <n v="300"/>
  </r>
  <r>
    <s v="KT-21"/>
    <x v="2"/>
    <x v="0"/>
    <n v="200"/>
    <n v="350"/>
  </r>
  <r>
    <s v="SB-22"/>
    <x v="3"/>
    <x v="1"/>
    <n v="1000"/>
    <n v="1200"/>
  </r>
  <r>
    <s v="KY-23"/>
    <x v="1"/>
    <x v="1"/>
    <n v="700"/>
    <n v="800"/>
  </r>
  <r>
    <s v="KT-24"/>
    <x v="5"/>
    <x v="0"/>
    <n v="200"/>
    <n v="300"/>
  </r>
  <r>
    <s v="SB-25"/>
    <x v="0"/>
    <x v="2"/>
    <n v="600"/>
    <n v="500"/>
  </r>
  <r>
    <s v="KY-26"/>
    <x v="6"/>
    <x v="0"/>
    <n v="250"/>
    <n v="300"/>
  </r>
  <r>
    <s v="KY-27"/>
    <x v="4"/>
    <x v="1"/>
    <n v="700"/>
    <n v="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12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G2:M16" firstHeaderRow="1" firstDataRow="2" firstDataCol="2"/>
  <pivotFields count="6">
    <pivotField compact="0" showAll="0"/>
    <pivotField axis="axisRow" compact="0" showAll="0">
      <items count="10">
        <item x="4"/>
        <item x="3"/>
        <item x="7"/>
        <item x="0"/>
        <item x="5"/>
        <item x="2"/>
        <item x="8"/>
        <item x="6"/>
        <item x="1"/>
        <item t="default"/>
      </items>
    </pivotField>
    <pivotField axis="axisCol" compact="0" showAll="0" sortType="descending">
      <items count="5">
        <item x="2"/>
        <item x="1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howAll="0"/>
    <pivotField dataField="1" compact="0" showAll="0"/>
    <pivotField axis="axisRow" compact="0" showAll="0" defaultSubtotal="0">
      <items count="3">
        <item n="기타광역시" x="0"/>
        <item n="서울, 부산" x="1"/>
        <item n="기타지역" x="2"/>
      </items>
    </pivotField>
  </pivotFields>
  <rowFields count="2">
    <field x="5"/>
    <field x="1"/>
  </rowFields>
  <rowItems count="13">
    <i>
      <x/>
    </i>
    <i r="1">
      <x/>
    </i>
    <i r="1">
      <x v="7"/>
    </i>
    <i r="1">
      <x v="8"/>
    </i>
    <i>
      <x v="1"/>
    </i>
    <i r="1">
      <x v="1"/>
    </i>
    <i r="1">
      <x v="3"/>
    </i>
    <i>
      <x v="2"/>
    </i>
    <i r="1">
      <x v="2"/>
    </i>
    <i r="1">
      <x v="4"/>
    </i>
    <i r="1">
      <x v="5"/>
    </i>
    <i r="1">
      <x v="6"/>
    </i>
    <i t="grand">
      <x/>
    </i>
  </rowItems>
  <colFields count="1">
    <field x="2"/>
  </colFields>
  <colItems count="5">
    <i>
      <x v="1"/>
    </i>
    <i>
      <x v="3"/>
    </i>
    <i>
      <x/>
    </i>
    <i>
      <x v="2"/>
    </i>
    <i t="grand">
      <x/>
    </i>
  </colItems>
  <dataFields count="1">
    <dataField name="합계 : 현재예치금" fld="4" baseField="1" baseItem="1" numFmtId="18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0"/>
  <sheetViews>
    <sheetView tabSelected="1" workbookViewId="0"/>
  </sheetViews>
  <sheetFormatPr defaultRowHeight="16.5" x14ac:dyDescent="0.3"/>
  <cols>
    <col min="2" max="2" width="11" bestFit="1" customWidth="1"/>
    <col min="3" max="3" width="11.25" bestFit="1" customWidth="1"/>
    <col min="4" max="5" width="13.25" bestFit="1" customWidth="1"/>
    <col min="6" max="6" width="9.375" bestFit="1" customWidth="1"/>
  </cols>
  <sheetData>
    <row r="2" spans="2:6" x14ac:dyDescent="0.3">
      <c r="B2" s="30" t="s">
        <v>141</v>
      </c>
      <c r="C2" s="31" t="s">
        <v>142</v>
      </c>
      <c r="D2" s="31" t="s">
        <v>143</v>
      </c>
      <c r="E2" s="31" t="s">
        <v>144</v>
      </c>
      <c r="F2" s="32" t="s">
        <v>145</v>
      </c>
    </row>
    <row r="3" spans="2:6" x14ac:dyDescent="0.3">
      <c r="B3" s="33" t="s">
        <v>146</v>
      </c>
      <c r="C3" s="34" t="s">
        <v>147</v>
      </c>
      <c r="D3" s="34">
        <v>700</v>
      </c>
      <c r="E3" s="34">
        <v>800</v>
      </c>
      <c r="F3" s="35">
        <v>10</v>
      </c>
    </row>
    <row r="4" spans="2:6" x14ac:dyDescent="0.3">
      <c r="B4" s="36" t="s">
        <v>148</v>
      </c>
      <c r="C4" s="37" t="s">
        <v>149</v>
      </c>
      <c r="D4" s="37">
        <v>250</v>
      </c>
      <c r="E4" s="37">
        <v>300</v>
      </c>
      <c r="F4" s="38">
        <v>12</v>
      </c>
    </row>
    <row r="5" spans="2:6" x14ac:dyDescent="0.3">
      <c r="B5" s="33" t="s">
        <v>150</v>
      </c>
      <c r="C5" s="34" t="s">
        <v>151</v>
      </c>
      <c r="D5" s="34">
        <v>1500</v>
      </c>
      <c r="E5" s="34">
        <v>2000</v>
      </c>
      <c r="F5" s="35">
        <v>16</v>
      </c>
    </row>
    <row r="6" spans="2:6" x14ac:dyDescent="0.3">
      <c r="B6" s="36" t="s">
        <v>150</v>
      </c>
      <c r="C6" s="37" t="s">
        <v>147</v>
      </c>
      <c r="D6" s="37">
        <v>1000</v>
      </c>
      <c r="E6" s="37">
        <v>1500</v>
      </c>
      <c r="F6" s="38">
        <v>20</v>
      </c>
    </row>
    <row r="7" spans="2:6" x14ac:dyDescent="0.3">
      <c r="B7" s="33" t="s">
        <v>152</v>
      </c>
      <c r="C7" s="34" t="s">
        <v>153</v>
      </c>
      <c r="D7" s="34">
        <v>600</v>
      </c>
      <c r="E7" s="34">
        <v>500</v>
      </c>
      <c r="F7" s="35">
        <v>11</v>
      </c>
    </row>
    <row r="8" spans="2:6" x14ac:dyDescent="0.3">
      <c r="B8" s="36" t="s">
        <v>152</v>
      </c>
      <c r="C8" s="37" t="s">
        <v>147</v>
      </c>
      <c r="D8" s="37">
        <v>1000</v>
      </c>
      <c r="E8" s="37">
        <v>1500</v>
      </c>
      <c r="F8" s="38">
        <v>20</v>
      </c>
    </row>
    <row r="9" spans="2:6" x14ac:dyDescent="0.3">
      <c r="B9" s="33" t="s">
        <v>154</v>
      </c>
      <c r="C9" s="34" t="s">
        <v>153</v>
      </c>
      <c r="D9" s="34">
        <v>400</v>
      </c>
      <c r="E9" s="34">
        <v>400</v>
      </c>
      <c r="F9" s="35">
        <v>13</v>
      </c>
    </row>
    <row r="10" spans="2:6" x14ac:dyDescent="0.3">
      <c r="B10" s="27" t="s">
        <v>154</v>
      </c>
      <c r="C10" s="28" t="s">
        <v>147</v>
      </c>
      <c r="D10" s="28">
        <v>700</v>
      </c>
      <c r="E10" s="28">
        <v>500</v>
      </c>
      <c r="F10" s="29">
        <v>20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41"/>
  <sheetViews>
    <sheetView workbookViewId="0"/>
  </sheetViews>
  <sheetFormatPr defaultRowHeight="16.5" x14ac:dyDescent="0.3"/>
  <cols>
    <col min="1" max="1" width="2.75" customWidth="1"/>
    <col min="3" max="14" width="6.625" customWidth="1"/>
  </cols>
  <sheetData>
    <row r="1" spans="2:14" x14ac:dyDescent="0.3">
      <c r="B1" t="s">
        <v>0</v>
      </c>
    </row>
    <row r="2" spans="2:14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</row>
    <row r="3" spans="2:14" x14ac:dyDescent="0.3">
      <c r="B3" s="1" t="s">
        <v>14</v>
      </c>
      <c r="C3" s="1">
        <v>5</v>
      </c>
      <c r="D3" s="1">
        <v>52</v>
      </c>
      <c r="E3" s="1">
        <v>5</v>
      </c>
      <c r="F3" s="1">
        <v>5</v>
      </c>
      <c r="G3" s="1">
        <v>9</v>
      </c>
      <c r="H3" s="1">
        <v>5</v>
      </c>
      <c r="I3" s="1">
        <v>5</v>
      </c>
      <c r="J3" s="1">
        <v>21</v>
      </c>
      <c r="K3" s="1">
        <v>4</v>
      </c>
      <c r="L3" s="1">
        <v>9</v>
      </c>
      <c r="M3" s="1">
        <v>5</v>
      </c>
      <c r="N3" s="1">
        <v>4</v>
      </c>
    </row>
    <row r="4" spans="2:14" x14ac:dyDescent="0.3">
      <c r="B4" s="1" t="s">
        <v>15</v>
      </c>
      <c r="C4" s="1">
        <v>32</v>
      </c>
      <c r="D4" s="1">
        <v>14</v>
      </c>
      <c r="E4" s="1">
        <v>2</v>
      </c>
      <c r="F4" s="1">
        <v>6</v>
      </c>
      <c r="G4" s="1">
        <v>4</v>
      </c>
      <c r="H4" s="1">
        <v>1</v>
      </c>
      <c r="I4" s="1">
        <v>25</v>
      </c>
      <c r="J4" s="1">
        <v>5</v>
      </c>
      <c r="K4" s="1">
        <v>5</v>
      </c>
      <c r="L4" s="1">
        <v>7</v>
      </c>
      <c r="M4" s="1">
        <v>5</v>
      </c>
      <c r="N4" s="1">
        <v>4</v>
      </c>
    </row>
    <row r="5" spans="2:14" x14ac:dyDescent="0.3">
      <c r="B5" s="1" t="s">
        <v>16</v>
      </c>
      <c r="C5" s="1">
        <v>5</v>
      </c>
      <c r="D5" s="1">
        <v>2</v>
      </c>
      <c r="E5" s="1">
        <v>4</v>
      </c>
      <c r="F5" s="1">
        <v>4</v>
      </c>
      <c r="G5" s="1">
        <v>7</v>
      </c>
      <c r="H5" s="1">
        <v>4</v>
      </c>
      <c r="I5" s="1">
        <v>4</v>
      </c>
      <c r="J5" s="1">
        <v>8</v>
      </c>
      <c r="K5" s="1">
        <v>2</v>
      </c>
      <c r="L5" s="1">
        <v>5</v>
      </c>
      <c r="M5" s="1">
        <v>5</v>
      </c>
      <c r="N5" s="1">
        <v>2</v>
      </c>
    </row>
    <row r="6" spans="2:14" x14ac:dyDescent="0.3">
      <c r="B6" s="1" t="s">
        <v>17</v>
      </c>
      <c r="C6" s="1">
        <v>2</v>
      </c>
      <c r="D6" s="1">
        <v>12</v>
      </c>
      <c r="E6" s="1">
        <v>2</v>
      </c>
      <c r="F6" s="1">
        <v>5</v>
      </c>
      <c r="G6" s="1">
        <v>8</v>
      </c>
      <c r="H6" s="1">
        <v>5</v>
      </c>
      <c r="I6" s="1">
        <v>5</v>
      </c>
      <c r="J6" s="1">
        <v>25</v>
      </c>
      <c r="K6" s="1">
        <v>2</v>
      </c>
      <c r="L6" s="1">
        <v>14</v>
      </c>
      <c r="M6" s="1">
        <v>10</v>
      </c>
      <c r="N6" s="1">
        <v>21</v>
      </c>
    </row>
    <row r="7" spans="2:14" x14ac:dyDescent="0.3">
      <c r="B7" s="1" t="s">
        <v>18</v>
      </c>
      <c r="C7" s="1">
        <v>10</v>
      </c>
      <c r="D7" s="1">
        <v>25</v>
      </c>
      <c r="E7" s="1">
        <v>5</v>
      </c>
      <c r="F7" s="1">
        <v>7</v>
      </c>
      <c r="G7" s="1">
        <v>1</v>
      </c>
      <c r="H7" s="1">
        <v>5</v>
      </c>
      <c r="I7" s="1">
        <v>8</v>
      </c>
      <c r="J7" s="1">
        <v>7</v>
      </c>
      <c r="K7" s="1">
        <v>5</v>
      </c>
      <c r="L7" s="1">
        <v>7</v>
      </c>
      <c r="M7" s="1">
        <v>5</v>
      </c>
      <c r="N7" s="1">
        <v>2</v>
      </c>
    </row>
    <row r="8" spans="2:14" x14ac:dyDescent="0.3">
      <c r="B8" s="1" t="s">
        <v>19</v>
      </c>
      <c r="C8" s="1">
        <v>21</v>
      </c>
      <c r="D8" s="1">
        <v>5</v>
      </c>
      <c r="E8" s="1">
        <v>3</v>
      </c>
      <c r="F8" s="1">
        <v>5</v>
      </c>
      <c r="G8" s="1">
        <v>4</v>
      </c>
      <c r="H8" s="1">
        <v>4</v>
      </c>
      <c r="I8" s="1">
        <v>22</v>
      </c>
      <c r="J8" s="1">
        <v>5</v>
      </c>
      <c r="K8" s="1">
        <v>5</v>
      </c>
      <c r="L8" s="1">
        <v>5</v>
      </c>
      <c r="M8" s="1">
        <v>2</v>
      </c>
      <c r="N8" s="1">
        <v>1</v>
      </c>
    </row>
    <row r="9" spans="2:14" x14ac:dyDescent="0.3">
      <c r="B9" s="1" t="s">
        <v>20</v>
      </c>
      <c r="C9" s="1">
        <v>3</v>
      </c>
      <c r="D9" s="1">
        <v>2</v>
      </c>
      <c r="E9" s="1">
        <v>5</v>
      </c>
      <c r="F9" s="1">
        <v>5</v>
      </c>
      <c r="G9" s="1">
        <v>5</v>
      </c>
      <c r="H9" s="1">
        <v>5</v>
      </c>
      <c r="I9" s="1">
        <v>2</v>
      </c>
      <c r="J9" s="1">
        <v>10</v>
      </c>
      <c r="K9" s="1">
        <v>6</v>
      </c>
      <c r="L9" s="1">
        <v>1</v>
      </c>
      <c r="M9" s="1">
        <v>9</v>
      </c>
      <c r="N9" s="1">
        <v>4</v>
      </c>
    </row>
    <row r="10" spans="2:14" x14ac:dyDescent="0.3">
      <c r="B10" s="1" t="s">
        <v>21</v>
      </c>
      <c r="C10" s="1">
        <v>5</v>
      </c>
      <c r="D10" s="1">
        <v>3</v>
      </c>
      <c r="E10" s="1">
        <v>8</v>
      </c>
      <c r="F10" s="1">
        <v>4</v>
      </c>
      <c r="G10" s="1">
        <v>8</v>
      </c>
      <c r="H10" s="1">
        <v>10</v>
      </c>
      <c r="I10" s="1">
        <v>5</v>
      </c>
      <c r="J10" s="1">
        <v>8</v>
      </c>
      <c r="K10" s="1">
        <v>7</v>
      </c>
      <c r="L10" s="1">
        <v>4</v>
      </c>
      <c r="M10" s="1">
        <v>5</v>
      </c>
      <c r="N10" s="1">
        <v>5</v>
      </c>
    </row>
    <row r="11" spans="2:14" x14ac:dyDescent="0.3">
      <c r="B11" s="1" t="s">
        <v>22</v>
      </c>
      <c r="C11" s="1">
        <v>4</v>
      </c>
      <c r="D11" s="1">
        <v>5</v>
      </c>
      <c r="E11" s="1">
        <v>4</v>
      </c>
      <c r="F11" s="1">
        <v>5</v>
      </c>
      <c r="G11" s="1">
        <v>7</v>
      </c>
      <c r="H11" s="1">
        <v>18</v>
      </c>
      <c r="I11" s="1">
        <v>13</v>
      </c>
      <c r="J11" s="1">
        <v>2</v>
      </c>
      <c r="K11" s="1">
        <v>2</v>
      </c>
      <c r="L11" s="1">
        <v>5</v>
      </c>
      <c r="M11" s="1">
        <v>4</v>
      </c>
      <c r="N11" s="1">
        <v>8</v>
      </c>
    </row>
    <row r="12" spans="2:14" x14ac:dyDescent="0.3">
      <c r="B12" s="1" t="s">
        <v>23</v>
      </c>
      <c r="C12" s="1">
        <v>8</v>
      </c>
      <c r="D12" s="1">
        <v>4</v>
      </c>
      <c r="E12" s="1">
        <v>25</v>
      </c>
      <c r="F12" s="1">
        <v>3</v>
      </c>
      <c r="G12" s="1">
        <v>9</v>
      </c>
      <c r="H12" s="1">
        <v>8</v>
      </c>
      <c r="I12" s="1">
        <v>4</v>
      </c>
      <c r="J12" s="1">
        <v>8</v>
      </c>
      <c r="K12" s="1">
        <v>4</v>
      </c>
      <c r="L12" s="1">
        <v>14</v>
      </c>
      <c r="M12" s="1">
        <v>5</v>
      </c>
      <c r="N12" s="1">
        <v>7</v>
      </c>
    </row>
    <row r="13" spans="2:14" x14ac:dyDescent="0.3">
      <c r="B13" s="1" t="s">
        <v>24</v>
      </c>
      <c r="C13" s="1">
        <v>5</v>
      </c>
      <c r="D13" s="1">
        <v>2</v>
      </c>
      <c r="E13" s="1">
        <v>5</v>
      </c>
      <c r="F13" s="1">
        <v>5</v>
      </c>
      <c r="G13" s="1">
        <v>23</v>
      </c>
      <c r="H13" s="1">
        <v>5</v>
      </c>
      <c r="I13" s="1">
        <v>5</v>
      </c>
      <c r="J13" s="1">
        <v>5</v>
      </c>
      <c r="K13" s="1">
        <v>4</v>
      </c>
      <c r="L13" s="1">
        <v>15</v>
      </c>
      <c r="M13" s="1">
        <v>3</v>
      </c>
      <c r="N13" s="1">
        <v>5</v>
      </c>
    </row>
    <row r="14" spans="2:14" x14ac:dyDescent="0.3">
      <c r="B14" s="1" t="s">
        <v>25</v>
      </c>
      <c r="C14" s="1">
        <v>5</v>
      </c>
      <c r="D14" s="1">
        <v>5</v>
      </c>
      <c r="E14" s="1">
        <v>10</v>
      </c>
      <c r="F14" s="1">
        <v>7</v>
      </c>
      <c r="G14" s="1">
        <v>9</v>
      </c>
      <c r="H14" s="1">
        <v>5</v>
      </c>
      <c r="I14" s="1">
        <v>8</v>
      </c>
      <c r="J14" s="1">
        <v>9</v>
      </c>
      <c r="K14" s="1">
        <v>1</v>
      </c>
      <c r="L14" s="1">
        <v>6</v>
      </c>
      <c r="M14" s="1">
        <v>1</v>
      </c>
      <c r="N14" s="1">
        <v>10</v>
      </c>
    </row>
    <row r="15" spans="2:14" x14ac:dyDescent="0.3">
      <c r="B15" s="1" t="s">
        <v>26</v>
      </c>
      <c r="C15" s="1">
        <v>2</v>
      </c>
      <c r="D15" s="1">
        <v>6</v>
      </c>
      <c r="E15" s="1">
        <v>4</v>
      </c>
      <c r="F15" s="1">
        <v>5</v>
      </c>
      <c r="G15" s="1">
        <v>5</v>
      </c>
      <c r="H15" s="1">
        <v>10</v>
      </c>
      <c r="I15" s="1">
        <v>10</v>
      </c>
      <c r="J15" s="1">
        <v>5</v>
      </c>
      <c r="K15" s="1">
        <v>52</v>
      </c>
      <c r="L15" s="1">
        <v>2</v>
      </c>
      <c r="M15" s="1">
        <v>4</v>
      </c>
      <c r="N15" s="1">
        <v>5</v>
      </c>
    </row>
    <row r="16" spans="2:14" x14ac:dyDescent="0.3">
      <c r="B16" s="1" t="s">
        <v>27</v>
      </c>
      <c r="C16" s="1">
        <v>5</v>
      </c>
      <c r="D16" s="1">
        <v>30</v>
      </c>
      <c r="E16" s="1">
        <v>1</v>
      </c>
      <c r="F16" s="1">
        <v>4</v>
      </c>
      <c r="G16" s="1">
        <v>8</v>
      </c>
      <c r="H16" s="1">
        <v>5</v>
      </c>
      <c r="I16" s="1">
        <v>2</v>
      </c>
      <c r="J16" s="1">
        <v>5</v>
      </c>
      <c r="K16" s="1">
        <v>5</v>
      </c>
      <c r="L16" s="1">
        <v>1</v>
      </c>
      <c r="M16" s="1">
        <v>5</v>
      </c>
      <c r="N16" s="1">
        <v>4</v>
      </c>
    </row>
    <row r="17" spans="2:14" x14ac:dyDescent="0.3">
      <c r="B17" s="1" t="s">
        <v>28</v>
      </c>
      <c r="C17" s="1">
        <v>10</v>
      </c>
      <c r="D17" s="1">
        <v>6</v>
      </c>
      <c r="E17" s="1">
        <v>5</v>
      </c>
      <c r="F17" s="1">
        <v>5</v>
      </c>
      <c r="G17" s="1">
        <v>7</v>
      </c>
      <c r="H17" s="1">
        <v>2</v>
      </c>
      <c r="I17" s="1">
        <v>5</v>
      </c>
      <c r="J17" s="1">
        <v>2</v>
      </c>
      <c r="K17" s="1">
        <v>4</v>
      </c>
      <c r="L17" s="1">
        <v>4</v>
      </c>
      <c r="M17" s="1">
        <v>14</v>
      </c>
      <c r="N17" s="1">
        <v>5</v>
      </c>
    </row>
    <row r="18" spans="2:14" x14ac:dyDescent="0.3">
      <c r="B18" s="1" t="s">
        <v>29</v>
      </c>
      <c r="C18" s="1">
        <v>8</v>
      </c>
      <c r="D18" s="1">
        <v>7</v>
      </c>
      <c r="E18" s="1">
        <v>7</v>
      </c>
      <c r="F18" s="1">
        <v>3</v>
      </c>
      <c r="G18" s="1">
        <v>12</v>
      </c>
      <c r="H18" s="1">
        <v>5</v>
      </c>
      <c r="I18" s="1">
        <v>2</v>
      </c>
      <c r="J18" s="1">
        <v>6</v>
      </c>
      <c r="K18" s="1">
        <v>5</v>
      </c>
      <c r="L18" s="1">
        <v>5</v>
      </c>
      <c r="M18" s="1">
        <v>30</v>
      </c>
      <c r="N18" s="1">
        <v>3</v>
      </c>
    </row>
    <row r="19" spans="2:14" x14ac:dyDescent="0.3">
      <c r="B19" s="1" t="s">
        <v>30</v>
      </c>
      <c r="C19" s="1">
        <v>2</v>
      </c>
      <c r="D19" s="1">
        <v>2</v>
      </c>
      <c r="E19" s="1">
        <v>20</v>
      </c>
      <c r="F19" s="1">
        <v>1</v>
      </c>
      <c r="G19" s="1">
        <v>5</v>
      </c>
      <c r="H19" s="1">
        <v>12</v>
      </c>
      <c r="I19" s="1">
        <v>6</v>
      </c>
      <c r="J19" s="1">
        <v>8</v>
      </c>
      <c r="K19" s="1">
        <v>2</v>
      </c>
      <c r="L19" s="1">
        <v>2</v>
      </c>
      <c r="M19" s="1">
        <v>6</v>
      </c>
      <c r="N19" s="1">
        <v>5</v>
      </c>
    </row>
    <row r="20" spans="2:14" x14ac:dyDescent="0.3">
      <c r="B20" s="1" t="s">
        <v>31</v>
      </c>
      <c r="C20" s="1">
        <v>8</v>
      </c>
      <c r="D20" s="1">
        <v>4</v>
      </c>
      <c r="E20" s="1">
        <v>7</v>
      </c>
      <c r="F20" s="1">
        <v>5</v>
      </c>
      <c r="G20" s="1">
        <v>5</v>
      </c>
      <c r="H20" s="1">
        <v>16</v>
      </c>
      <c r="I20" s="1">
        <v>7</v>
      </c>
      <c r="J20" s="1">
        <v>7</v>
      </c>
      <c r="K20" s="1">
        <v>7</v>
      </c>
      <c r="L20" s="1">
        <v>5</v>
      </c>
      <c r="M20" s="1">
        <v>2</v>
      </c>
      <c r="N20" s="1">
        <v>2</v>
      </c>
    </row>
    <row r="21" spans="2:14" x14ac:dyDescent="0.3">
      <c r="B21" s="1" t="s">
        <v>32</v>
      </c>
      <c r="C21" s="1">
        <v>5</v>
      </c>
      <c r="D21" s="1">
        <v>4</v>
      </c>
      <c r="E21" s="1">
        <v>19</v>
      </c>
      <c r="F21" s="1">
        <v>7</v>
      </c>
      <c r="G21" s="1">
        <v>2</v>
      </c>
      <c r="H21" s="1">
        <v>2</v>
      </c>
      <c r="I21" s="1">
        <v>5</v>
      </c>
      <c r="J21" s="1">
        <v>1</v>
      </c>
      <c r="K21" s="1">
        <v>5</v>
      </c>
      <c r="L21" s="1">
        <v>1</v>
      </c>
      <c r="M21" s="1">
        <v>74</v>
      </c>
      <c r="N21" s="1">
        <v>5</v>
      </c>
    </row>
    <row r="22" spans="2:14" x14ac:dyDescent="0.3">
      <c r="B22" s="1" t="s">
        <v>33</v>
      </c>
      <c r="C22" s="1">
        <v>9</v>
      </c>
      <c r="D22" s="1">
        <v>1</v>
      </c>
      <c r="E22" s="1">
        <v>1</v>
      </c>
      <c r="F22" s="1">
        <v>2</v>
      </c>
      <c r="G22" s="1">
        <v>2</v>
      </c>
      <c r="H22" s="1">
        <v>5</v>
      </c>
      <c r="I22" s="1">
        <v>2</v>
      </c>
      <c r="J22" s="1">
        <v>52</v>
      </c>
      <c r="K22" s="1">
        <v>18</v>
      </c>
      <c r="L22" s="1">
        <v>4</v>
      </c>
      <c r="M22" s="1">
        <v>8</v>
      </c>
      <c r="N22" s="1">
        <v>4</v>
      </c>
    </row>
    <row r="23" spans="2:14" x14ac:dyDescent="0.3">
      <c r="B23" s="1" t="s">
        <v>34</v>
      </c>
      <c r="C23" s="1">
        <v>5</v>
      </c>
      <c r="D23" s="1">
        <v>12</v>
      </c>
      <c r="E23" s="1">
        <v>5</v>
      </c>
      <c r="F23" s="1">
        <v>7</v>
      </c>
      <c r="G23" s="1">
        <v>7</v>
      </c>
      <c r="H23" s="1">
        <v>16</v>
      </c>
      <c r="I23" s="1">
        <v>6</v>
      </c>
      <c r="J23" s="1">
        <v>5</v>
      </c>
      <c r="K23" s="1">
        <v>5</v>
      </c>
      <c r="L23" s="1">
        <v>5</v>
      </c>
      <c r="M23" s="1">
        <v>5</v>
      </c>
      <c r="N23" s="1">
        <v>4</v>
      </c>
    </row>
    <row r="24" spans="2:14" x14ac:dyDescent="0.3">
      <c r="B24" s="1" t="s">
        <v>35</v>
      </c>
      <c r="C24" s="1">
        <v>5</v>
      </c>
      <c r="D24" s="1">
        <v>5</v>
      </c>
      <c r="E24" s="1">
        <v>8</v>
      </c>
      <c r="F24" s="1">
        <v>8</v>
      </c>
      <c r="G24" s="1">
        <v>7</v>
      </c>
      <c r="H24" s="1">
        <v>2</v>
      </c>
      <c r="I24" s="1">
        <v>5</v>
      </c>
      <c r="J24" s="1">
        <v>5</v>
      </c>
      <c r="K24" s="1">
        <v>5</v>
      </c>
      <c r="L24" s="1">
        <v>8</v>
      </c>
      <c r="M24" s="1">
        <v>9</v>
      </c>
      <c r="N24" s="1">
        <v>1</v>
      </c>
    </row>
    <row r="25" spans="2:14" x14ac:dyDescent="0.3">
      <c r="B25" s="1" t="s">
        <v>36</v>
      </c>
      <c r="C25" s="1">
        <v>2</v>
      </c>
      <c r="D25" s="1">
        <v>4</v>
      </c>
      <c r="E25" s="1">
        <v>4</v>
      </c>
      <c r="F25" s="1">
        <v>21</v>
      </c>
      <c r="G25" s="1">
        <v>8</v>
      </c>
      <c r="H25" s="1">
        <v>5</v>
      </c>
      <c r="I25" s="1">
        <v>2</v>
      </c>
      <c r="J25" s="1">
        <v>1</v>
      </c>
      <c r="K25" s="1">
        <v>4</v>
      </c>
      <c r="L25" s="1">
        <v>5</v>
      </c>
      <c r="M25" s="1">
        <v>5</v>
      </c>
      <c r="N25" s="1">
        <v>10</v>
      </c>
    </row>
    <row r="26" spans="2:14" x14ac:dyDescent="0.3">
      <c r="B26" s="1" t="s">
        <v>37</v>
      </c>
      <c r="C26" s="1">
        <v>17</v>
      </c>
      <c r="D26" s="1">
        <v>1</v>
      </c>
      <c r="E26" s="1">
        <v>1</v>
      </c>
      <c r="F26" s="1">
        <v>5</v>
      </c>
      <c r="G26" s="1">
        <v>9</v>
      </c>
      <c r="H26" s="1">
        <v>36</v>
      </c>
      <c r="I26" s="1">
        <v>6</v>
      </c>
      <c r="J26" s="1">
        <v>5</v>
      </c>
      <c r="K26" s="1">
        <v>25</v>
      </c>
      <c r="L26" s="1">
        <v>2</v>
      </c>
      <c r="M26" s="1">
        <v>5</v>
      </c>
      <c r="N26" s="1">
        <v>5</v>
      </c>
    </row>
    <row r="27" spans="2:14" x14ac:dyDescent="0.3">
      <c r="B27" s="1" t="s">
        <v>38</v>
      </c>
      <c r="C27" s="1">
        <v>25</v>
      </c>
      <c r="D27" s="1">
        <v>2</v>
      </c>
      <c r="E27" s="1">
        <v>5</v>
      </c>
      <c r="F27" s="1">
        <v>9</v>
      </c>
      <c r="G27" s="1">
        <v>4</v>
      </c>
      <c r="H27" s="1">
        <v>52</v>
      </c>
      <c r="I27" s="1">
        <v>1</v>
      </c>
      <c r="J27" s="1">
        <v>9</v>
      </c>
      <c r="K27" s="1">
        <v>5</v>
      </c>
      <c r="L27" s="1">
        <v>5</v>
      </c>
      <c r="M27" s="1">
        <v>2</v>
      </c>
      <c r="N27" s="1">
        <v>4</v>
      </c>
    </row>
    <row r="29" spans="2:14" x14ac:dyDescent="0.3">
      <c r="B29" s="2" t="s">
        <v>39</v>
      </c>
    </row>
    <row r="30" spans="2:14" x14ac:dyDescent="0.3">
      <c r="B30" t="b">
        <f>OR(LEFT(B3,1)="대",LEN(B3)=3)</f>
        <v>1</v>
      </c>
    </row>
    <row r="32" spans="2:14" x14ac:dyDescent="0.3">
      <c r="B32" t="s">
        <v>1</v>
      </c>
      <c r="C32" t="s">
        <v>40</v>
      </c>
      <c r="D32" t="s">
        <v>11</v>
      </c>
      <c r="E32" t="s">
        <v>12</v>
      </c>
      <c r="F32" t="s">
        <v>13</v>
      </c>
    </row>
    <row r="33" spans="2:6" x14ac:dyDescent="0.3">
      <c r="B33" s="1" t="s">
        <v>14</v>
      </c>
      <c r="C33" s="1">
        <v>4</v>
      </c>
      <c r="D33" s="1">
        <v>9</v>
      </c>
      <c r="E33" s="1">
        <v>5</v>
      </c>
      <c r="F33" s="1">
        <v>4</v>
      </c>
    </row>
    <row r="34" spans="2:6" x14ac:dyDescent="0.3">
      <c r="B34" s="1" t="s">
        <v>16</v>
      </c>
      <c r="C34" s="1">
        <v>2</v>
      </c>
      <c r="D34" s="1">
        <v>5</v>
      </c>
      <c r="E34" s="1">
        <v>5</v>
      </c>
      <c r="F34" s="1">
        <v>2</v>
      </c>
    </row>
    <row r="35" spans="2:6" x14ac:dyDescent="0.3">
      <c r="B35" s="1" t="s">
        <v>20</v>
      </c>
      <c r="C35" s="1">
        <v>6</v>
      </c>
      <c r="D35" s="1">
        <v>1</v>
      </c>
      <c r="E35" s="1">
        <v>9</v>
      </c>
      <c r="F35" s="1">
        <v>4</v>
      </c>
    </row>
    <row r="36" spans="2:6" x14ac:dyDescent="0.3">
      <c r="B36" s="1" t="s">
        <v>21</v>
      </c>
      <c r="C36" s="1">
        <v>7</v>
      </c>
      <c r="D36" s="1">
        <v>4</v>
      </c>
      <c r="E36" s="1">
        <v>5</v>
      </c>
      <c r="F36" s="1">
        <v>5</v>
      </c>
    </row>
    <row r="37" spans="2:6" x14ac:dyDescent="0.3">
      <c r="B37" s="1" t="s">
        <v>24</v>
      </c>
      <c r="C37" s="1">
        <v>4</v>
      </c>
      <c r="D37" s="1">
        <v>15</v>
      </c>
      <c r="E37" s="1">
        <v>3</v>
      </c>
      <c r="F37" s="1">
        <v>5</v>
      </c>
    </row>
    <row r="38" spans="2:6" x14ac:dyDescent="0.3">
      <c r="B38" s="1" t="s">
        <v>26</v>
      </c>
      <c r="C38" s="1">
        <v>52</v>
      </c>
      <c r="D38" s="1">
        <v>2</v>
      </c>
      <c r="E38" s="1">
        <v>4</v>
      </c>
      <c r="F38" s="1">
        <v>5</v>
      </c>
    </row>
    <row r="39" spans="2:6" x14ac:dyDescent="0.3">
      <c r="B39" s="1" t="s">
        <v>28</v>
      </c>
      <c r="C39" s="1">
        <v>4</v>
      </c>
      <c r="D39" s="1">
        <v>4</v>
      </c>
      <c r="E39" s="1">
        <v>14</v>
      </c>
      <c r="F39" s="1">
        <v>5</v>
      </c>
    </row>
    <row r="40" spans="2:6" x14ac:dyDescent="0.3">
      <c r="B40" s="1" t="s">
        <v>29</v>
      </c>
      <c r="C40" s="1">
        <v>5</v>
      </c>
      <c r="D40" s="1">
        <v>5</v>
      </c>
      <c r="E40" s="1">
        <v>30</v>
      </c>
      <c r="F40" s="1">
        <v>3</v>
      </c>
    </row>
    <row r="41" spans="2:6" x14ac:dyDescent="0.3">
      <c r="B41" s="1" t="s">
        <v>37</v>
      </c>
      <c r="C41" s="1">
        <v>25</v>
      </c>
      <c r="D41" s="1">
        <v>2</v>
      </c>
      <c r="E41" s="1">
        <v>5</v>
      </c>
      <c r="F41" s="1">
        <v>5</v>
      </c>
    </row>
  </sheetData>
  <phoneticPr fontId="2" type="noConversion"/>
  <conditionalFormatting sqref="B3:N27">
    <cfRule type="expression" dxfId="0" priority="1">
      <formula>AND($G3&lt;AVERAGE($G$3:$G$27),$H3&lt;AVERAGE($H$3:$H$27))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30"/>
  <sheetViews>
    <sheetView workbookViewId="0"/>
  </sheetViews>
  <sheetFormatPr defaultRowHeight="16.5" x14ac:dyDescent="0.3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 x14ac:dyDescent="0.3">
      <c r="A2" t="s">
        <v>41</v>
      </c>
      <c r="K2" t="s">
        <v>42</v>
      </c>
    </row>
    <row r="3" spans="1:15" x14ac:dyDescent="0.3">
      <c r="A3" s="3" t="s">
        <v>43</v>
      </c>
      <c r="B3" s="1" t="s">
        <v>44</v>
      </c>
      <c r="C3" s="1" t="s">
        <v>45</v>
      </c>
      <c r="D3" s="3" t="s">
        <v>46</v>
      </c>
      <c r="E3" s="1" t="s">
        <v>47</v>
      </c>
      <c r="F3" s="1" t="s">
        <v>48</v>
      </c>
      <c r="G3" s="1" t="s">
        <v>49</v>
      </c>
      <c r="H3" s="1" t="s">
        <v>50</v>
      </c>
      <c r="I3" s="3" t="s">
        <v>51</v>
      </c>
      <c r="K3" s="1" t="s">
        <v>44</v>
      </c>
      <c r="L3" s="1" t="s">
        <v>52</v>
      </c>
    </row>
    <row r="4" spans="1:15" x14ac:dyDescent="0.3">
      <c r="A4" s="1" t="str">
        <f>CONCATENATE(VLOOKUP(B4,$K$4:$L$6,2,FALSE),"-",ROW()-3)</f>
        <v>SB-1</v>
      </c>
      <c r="B4" s="1" t="s">
        <v>53</v>
      </c>
      <c r="C4" s="4">
        <v>85</v>
      </c>
      <c r="D4" s="5">
        <f>INDEX($L$10:$O$12,MATCH(B4,$K$10:$K$12,0),MATCH(C4,$L$9:$O$9,1))</f>
        <v>300</v>
      </c>
      <c r="E4" s="5">
        <v>250</v>
      </c>
      <c r="F4" s="5">
        <v>5</v>
      </c>
      <c r="G4" s="5">
        <v>2</v>
      </c>
      <c r="H4" s="5">
        <v>3</v>
      </c>
      <c r="I4" s="1">
        <f>fn가산점(F4,G4,H4)</f>
        <v>23</v>
      </c>
      <c r="K4" s="6" t="s">
        <v>54</v>
      </c>
      <c r="L4" s="1" t="s">
        <v>55</v>
      </c>
    </row>
    <row r="5" spans="1:15" x14ac:dyDescent="0.3">
      <c r="A5" s="1" t="str">
        <f t="shared" ref="A5:A30" si="0">CONCATENATE(VLOOKUP(B5,$K$4:$L$6,2,FALSE),"-",ROW()-3)</f>
        <v>KY-2</v>
      </c>
      <c r="B5" s="1" t="s">
        <v>56</v>
      </c>
      <c r="C5" s="4">
        <v>108</v>
      </c>
      <c r="D5" s="5">
        <f t="shared" ref="D5:D30" si="1">INDEX($L$10:$O$12,MATCH(B5,$K$10:$K$12,0),MATCH(C5,$L$9:$O$9,1))</f>
        <v>700</v>
      </c>
      <c r="E5" s="5">
        <v>800</v>
      </c>
      <c r="F5" s="5">
        <v>10</v>
      </c>
      <c r="G5" s="5">
        <v>5</v>
      </c>
      <c r="H5" s="5">
        <v>13</v>
      </c>
      <c r="I5" s="1">
        <f t="shared" ref="I5:I16" si="2">fn가산점(F5,G5,H5)</f>
        <v>58</v>
      </c>
      <c r="K5" s="6" t="s">
        <v>57</v>
      </c>
      <c r="L5" s="1" t="s">
        <v>58</v>
      </c>
    </row>
    <row r="6" spans="1:15" x14ac:dyDescent="0.3">
      <c r="A6" s="1" t="str">
        <f t="shared" si="0"/>
        <v>KT-3</v>
      </c>
      <c r="B6" s="1" t="s">
        <v>59</v>
      </c>
      <c r="C6" s="4">
        <v>59</v>
      </c>
      <c r="D6" s="5">
        <f t="shared" si="1"/>
        <v>200</v>
      </c>
      <c r="E6" s="5">
        <v>200</v>
      </c>
      <c r="F6" s="5">
        <v>3</v>
      </c>
      <c r="G6" s="5">
        <v>4</v>
      </c>
      <c r="H6" s="5">
        <v>5</v>
      </c>
      <c r="I6" s="1">
        <f t="shared" si="2"/>
        <v>31</v>
      </c>
      <c r="K6" s="6" t="s">
        <v>59</v>
      </c>
      <c r="L6" s="1" t="s">
        <v>60</v>
      </c>
    </row>
    <row r="7" spans="1:15" x14ac:dyDescent="0.3">
      <c r="A7" s="1" t="str">
        <f t="shared" si="0"/>
        <v>SB-4</v>
      </c>
      <c r="B7" s="1" t="s">
        <v>54</v>
      </c>
      <c r="C7" s="4">
        <v>108</v>
      </c>
      <c r="D7" s="5">
        <f t="shared" si="1"/>
        <v>1000</v>
      </c>
      <c r="E7" s="5">
        <v>1500</v>
      </c>
      <c r="F7" s="5">
        <v>20</v>
      </c>
      <c r="G7" s="5">
        <v>5</v>
      </c>
      <c r="H7" s="5">
        <v>12</v>
      </c>
      <c r="I7" s="1">
        <f t="shared" si="2"/>
        <v>77</v>
      </c>
    </row>
    <row r="8" spans="1:15" x14ac:dyDescent="0.3">
      <c r="A8" s="1" t="str">
        <f t="shared" si="0"/>
        <v>SB-5</v>
      </c>
      <c r="B8" s="1" t="s">
        <v>61</v>
      </c>
      <c r="C8" s="4">
        <v>98</v>
      </c>
      <c r="D8" s="5">
        <f t="shared" si="1"/>
        <v>600</v>
      </c>
      <c r="E8" s="5">
        <v>550</v>
      </c>
      <c r="F8" s="5">
        <v>8</v>
      </c>
      <c r="G8" s="5">
        <v>2</v>
      </c>
      <c r="H8" s="5">
        <v>5</v>
      </c>
      <c r="I8" s="1">
        <f t="shared" si="2"/>
        <v>31</v>
      </c>
      <c r="K8" t="s">
        <v>62</v>
      </c>
    </row>
    <row r="9" spans="1:15" x14ac:dyDescent="0.3">
      <c r="A9" s="1" t="str">
        <f t="shared" si="0"/>
        <v>KY-6</v>
      </c>
      <c r="B9" s="1" t="s">
        <v>63</v>
      </c>
      <c r="C9" s="4">
        <v>98</v>
      </c>
      <c r="D9" s="5">
        <f t="shared" si="1"/>
        <v>400</v>
      </c>
      <c r="E9" s="5">
        <v>400</v>
      </c>
      <c r="F9" s="5">
        <v>13</v>
      </c>
      <c r="G9" s="5">
        <v>1</v>
      </c>
      <c r="H9" s="5">
        <v>3</v>
      </c>
      <c r="I9" s="1">
        <f t="shared" si="2"/>
        <v>34</v>
      </c>
      <c r="K9" s="1" t="s">
        <v>64</v>
      </c>
      <c r="L9" s="7">
        <v>50</v>
      </c>
      <c r="M9" s="7">
        <v>86</v>
      </c>
      <c r="N9" s="7">
        <v>103</v>
      </c>
      <c r="O9" s="8">
        <v>136</v>
      </c>
    </row>
    <row r="10" spans="1:15" x14ac:dyDescent="0.3">
      <c r="A10" s="1" t="str">
        <f t="shared" si="0"/>
        <v>KY-7</v>
      </c>
      <c r="B10" s="1" t="s">
        <v>65</v>
      </c>
      <c r="C10" s="4">
        <v>50</v>
      </c>
      <c r="D10" s="5">
        <f t="shared" si="1"/>
        <v>250</v>
      </c>
      <c r="E10" s="5">
        <v>300</v>
      </c>
      <c r="F10" s="5">
        <v>5</v>
      </c>
      <c r="G10" s="5">
        <v>2</v>
      </c>
      <c r="H10" s="5">
        <v>5</v>
      </c>
      <c r="I10" s="1">
        <f t="shared" si="2"/>
        <v>25</v>
      </c>
      <c r="K10" s="5" t="s">
        <v>53</v>
      </c>
      <c r="L10" s="5">
        <v>300</v>
      </c>
      <c r="M10" s="5">
        <v>600</v>
      </c>
      <c r="N10" s="5">
        <v>1000</v>
      </c>
      <c r="O10" s="9">
        <v>1500</v>
      </c>
    </row>
    <row r="11" spans="1:15" x14ac:dyDescent="0.3">
      <c r="A11" s="1" t="str">
        <f t="shared" si="0"/>
        <v>KT-8</v>
      </c>
      <c r="B11" s="1" t="s">
        <v>66</v>
      </c>
      <c r="C11" s="4">
        <v>98</v>
      </c>
      <c r="D11" s="5">
        <f t="shared" si="1"/>
        <v>300</v>
      </c>
      <c r="E11" s="5">
        <v>250</v>
      </c>
      <c r="F11" s="5">
        <v>9</v>
      </c>
      <c r="G11" s="5">
        <v>3</v>
      </c>
      <c r="H11" s="5">
        <v>5</v>
      </c>
      <c r="I11" s="1">
        <f t="shared" si="2"/>
        <v>38</v>
      </c>
      <c r="K11" s="5" t="s">
        <v>67</v>
      </c>
      <c r="L11" s="5">
        <v>250</v>
      </c>
      <c r="M11" s="5">
        <v>400</v>
      </c>
      <c r="N11" s="5">
        <v>700</v>
      </c>
      <c r="O11" s="9">
        <v>1000</v>
      </c>
    </row>
    <row r="12" spans="1:15" x14ac:dyDescent="0.3">
      <c r="A12" s="1" t="str">
        <f t="shared" si="0"/>
        <v>KT-9</v>
      </c>
      <c r="B12" s="1" t="s">
        <v>68</v>
      </c>
      <c r="C12" s="4">
        <v>69</v>
      </c>
      <c r="D12" s="5">
        <f t="shared" si="1"/>
        <v>200</v>
      </c>
      <c r="E12" s="5">
        <v>350</v>
      </c>
      <c r="F12" s="5">
        <v>4</v>
      </c>
      <c r="G12" s="5">
        <v>4</v>
      </c>
      <c r="H12" s="5">
        <v>12</v>
      </c>
      <c r="I12" s="1">
        <f t="shared" si="2"/>
        <v>40</v>
      </c>
      <c r="K12" s="5" t="s">
        <v>68</v>
      </c>
      <c r="L12" s="5">
        <v>200</v>
      </c>
      <c r="M12" s="5">
        <v>300</v>
      </c>
      <c r="N12" s="5">
        <v>400</v>
      </c>
      <c r="O12" s="9">
        <v>500</v>
      </c>
    </row>
    <row r="13" spans="1:15" x14ac:dyDescent="0.3">
      <c r="A13" s="1" t="str">
        <f t="shared" si="0"/>
        <v>KY-10</v>
      </c>
      <c r="B13" s="1" t="s">
        <v>65</v>
      </c>
      <c r="C13" s="4">
        <v>59</v>
      </c>
      <c r="D13" s="5">
        <f t="shared" si="1"/>
        <v>250</v>
      </c>
      <c r="E13" s="5">
        <v>300</v>
      </c>
      <c r="F13" s="5">
        <v>3</v>
      </c>
      <c r="G13" s="5">
        <v>2</v>
      </c>
      <c r="H13" s="5">
        <v>5</v>
      </c>
      <c r="I13" s="1">
        <f t="shared" si="2"/>
        <v>21</v>
      </c>
    </row>
    <row r="14" spans="1:15" x14ac:dyDescent="0.3">
      <c r="A14" s="1" t="str">
        <f t="shared" si="0"/>
        <v>KT-11</v>
      </c>
      <c r="B14" s="1" t="s">
        <v>69</v>
      </c>
      <c r="C14" s="4">
        <v>84</v>
      </c>
      <c r="D14" s="5">
        <f t="shared" si="1"/>
        <v>200</v>
      </c>
      <c r="E14" s="5">
        <v>100</v>
      </c>
      <c r="F14" s="5">
        <v>12</v>
      </c>
      <c r="G14" s="5">
        <v>1</v>
      </c>
      <c r="H14" s="5">
        <v>1</v>
      </c>
      <c r="I14" s="1" t="str">
        <f t="shared" si="2"/>
        <v>가입기간미달</v>
      </c>
      <c r="K14" t="s">
        <v>70</v>
      </c>
    </row>
    <row r="15" spans="1:15" x14ac:dyDescent="0.3">
      <c r="A15" s="1" t="str">
        <f t="shared" si="0"/>
        <v>SB-12</v>
      </c>
      <c r="B15" s="1" t="s">
        <v>71</v>
      </c>
      <c r="C15" s="4">
        <v>151</v>
      </c>
      <c r="D15" s="5">
        <f t="shared" si="1"/>
        <v>1500</v>
      </c>
      <c r="E15" s="5">
        <v>2000</v>
      </c>
      <c r="F15" s="5">
        <v>8</v>
      </c>
      <c r="G15" s="5">
        <v>3</v>
      </c>
      <c r="H15" s="5">
        <v>5</v>
      </c>
      <c r="I15" s="1">
        <f t="shared" si="2"/>
        <v>36</v>
      </c>
      <c r="K15" s="1" t="s">
        <v>44</v>
      </c>
      <c r="L15" s="10" t="s">
        <v>72</v>
      </c>
    </row>
    <row r="16" spans="1:15" x14ac:dyDescent="0.3">
      <c r="A16" s="1" t="str">
        <f t="shared" si="0"/>
        <v>KY-13</v>
      </c>
      <c r="B16" s="1" t="s">
        <v>73</v>
      </c>
      <c r="C16" s="4">
        <v>104</v>
      </c>
      <c r="D16" s="5">
        <f t="shared" si="1"/>
        <v>700</v>
      </c>
      <c r="E16" s="5">
        <v>500</v>
      </c>
      <c r="F16" s="5">
        <v>2</v>
      </c>
      <c r="G16" s="5">
        <v>2</v>
      </c>
      <c r="H16" s="5">
        <v>5</v>
      </c>
      <c r="I16" s="1">
        <f t="shared" si="2"/>
        <v>19</v>
      </c>
      <c r="K16" s="5" t="s">
        <v>74</v>
      </c>
      <c r="L16" s="5" t="str">
        <f t="array" ref="L16">REPT("■",AVERAGE(IF($B$4:$B$30=K16,$F$4:$F$30)))</f>
        <v>■■■■■■■■</v>
      </c>
    </row>
    <row r="17" spans="1:13" x14ac:dyDescent="0.3">
      <c r="A17" s="1" t="str">
        <f t="shared" si="0"/>
        <v>SB-14</v>
      </c>
      <c r="B17" s="1" t="s">
        <v>71</v>
      </c>
      <c r="C17" s="4">
        <v>105</v>
      </c>
      <c r="D17" s="5">
        <f t="shared" si="1"/>
        <v>1000</v>
      </c>
      <c r="E17" s="5">
        <v>800</v>
      </c>
      <c r="F17" s="5">
        <v>8</v>
      </c>
      <c r="G17" s="5">
        <v>2</v>
      </c>
      <c r="H17" s="5">
        <v>10</v>
      </c>
      <c r="I17" s="1">
        <f t="shared" ref="I17" si="3">fn가산점(F17,G17,H17)</f>
        <v>36</v>
      </c>
      <c r="K17" s="5" t="s">
        <v>75</v>
      </c>
      <c r="L17" s="5" t="str">
        <f t="array" ref="L17">REPT("■",AVERAGE(IF($B$4:$B$30=K17,$F$4:$F$30)))</f>
        <v>■■■■■■</v>
      </c>
    </row>
    <row r="18" spans="1:13" x14ac:dyDescent="0.3">
      <c r="A18" s="1" t="str">
        <f t="shared" si="0"/>
        <v>KT-15</v>
      </c>
      <c r="B18" s="1" t="s">
        <v>76</v>
      </c>
      <c r="C18" s="4">
        <v>98</v>
      </c>
      <c r="D18" s="5">
        <f t="shared" si="1"/>
        <v>300</v>
      </c>
      <c r="E18" s="5">
        <v>250</v>
      </c>
      <c r="F18" s="5">
        <v>3</v>
      </c>
      <c r="G18" s="5">
        <v>1</v>
      </c>
      <c r="H18" s="5">
        <v>8</v>
      </c>
      <c r="I18" s="1">
        <f t="shared" ref="I18" si="4">fn가산점(F18,G18,H18)</f>
        <v>19</v>
      </c>
      <c r="K18" s="5" t="s">
        <v>76</v>
      </c>
      <c r="L18" s="5" t="str">
        <f t="array" ref="L18">REPT("■",AVERAGE(IF($B$4:$B$30=K18,$F$4:$F$30)))</f>
        <v>■■■■■■■</v>
      </c>
    </row>
    <row r="19" spans="1:13" x14ac:dyDescent="0.3">
      <c r="A19" s="1" t="str">
        <f t="shared" si="0"/>
        <v>SB-16</v>
      </c>
      <c r="B19" s="1" t="s">
        <v>77</v>
      </c>
      <c r="C19" s="4">
        <v>69</v>
      </c>
      <c r="D19" s="5">
        <f t="shared" si="1"/>
        <v>300</v>
      </c>
      <c r="E19" s="5">
        <v>450</v>
      </c>
      <c r="F19" s="5">
        <v>2</v>
      </c>
      <c r="G19" s="5">
        <v>5</v>
      </c>
      <c r="H19" s="5">
        <v>3</v>
      </c>
      <c r="I19" s="1">
        <f t="shared" ref="I19:I22" si="5">fn가산점(F19,G19,H19)</f>
        <v>32</v>
      </c>
    </row>
    <row r="20" spans="1:13" x14ac:dyDescent="0.3">
      <c r="A20" s="1" t="str">
        <f t="shared" si="0"/>
        <v>SB-17</v>
      </c>
      <c r="B20" s="1" t="s">
        <v>78</v>
      </c>
      <c r="C20" s="4">
        <v>105</v>
      </c>
      <c r="D20" s="5">
        <f t="shared" si="1"/>
        <v>1000</v>
      </c>
      <c r="E20" s="5">
        <v>1500</v>
      </c>
      <c r="F20" s="5">
        <v>20</v>
      </c>
      <c r="G20" s="5">
        <v>3</v>
      </c>
      <c r="H20" s="5">
        <v>11</v>
      </c>
      <c r="I20" s="1">
        <f t="shared" si="5"/>
        <v>66</v>
      </c>
      <c r="K20" t="s">
        <v>79</v>
      </c>
    </row>
    <row r="21" spans="1:13" x14ac:dyDescent="0.3">
      <c r="A21" s="1" t="str">
        <f t="shared" si="0"/>
        <v>KT-18</v>
      </c>
      <c r="B21" s="1" t="s">
        <v>80</v>
      </c>
      <c r="C21" s="4">
        <v>113</v>
      </c>
      <c r="D21" s="5">
        <f t="shared" si="1"/>
        <v>400</v>
      </c>
      <c r="E21" s="5">
        <v>500</v>
      </c>
      <c r="F21" s="5">
        <v>9</v>
      </c>
      <c r="G21" s="5">
        <v>2</v>
      </c>
      <c r="H21" s="5">
        <v>5</v>
      </c>
      <c r="I21" s="1">
        <f t="shared" si="5"/>
        <v>33</v>
      </c>
      <c r="K21" s="25" t="s">
        <v>81</v>
      </c>
      <c r="L21" s="25"/>
      <c r="M21" s="3" t="s">
        <v>82</v>
      </c>
    </row>
    <row r="22" spans="1:13" x14ac:dyDescent="0.3">
      <c r="A22" s="1" t="str">
        <f t="shared" si="0"/>
        <v>SB-19</v>
      </c>
      <c r="B22" s="1" t="s">
        <v>83</v>
      </c>
      <c r="C22" s="4">
        <v>98</v>
      </c>
      <c r="D22" s="5">
        <f t="shared" si="1"/>
        <v>600</v>
      </c>
      <c r="E22" s="5">
        <v>500</v>
      </c>
      <c r="F22" s="5">
        <v>11</v>
      </c>
      <c r="G22" s="5">
        <v>5</v>
      </c>
      <c r="H22" s="5">
        <v>13</v>
      </c>
      <c r="I22" s="1">
        <f t="shared" si="5"/>
        <v>60</v>
      </c>
      <c r="K22" s="11">
        <v>0</v>
      </c>
      <c r="L22" s="1">
        <v>200</v>
      </c>
      <c r="M22" s="12">
        <f t="array" ref="M22:M26">FREQUENCY(E4:E30,L22:L26)/COUNT(E4:E30)*100</f>
        <v>7.4074074074074066</v>
      </c>
    </row>
    <row r="23" spans="1:13" x14ac:dyDescent="0.3">
      <c r="A23" s="1" t="str">
        <f t="shared" si="0"/>
        <v>KY-20</v>
      </c>
      <c r="B23" s="1" t="s">
        <v>84</v>
      </c>
      <c r="C23" s="4">
        <v>98</v>
      </c>
      <c r="D23" s="5">
        <f t="shared" si="1"/>
        <v>400</v>
      </c>
      <c r="E23" s="5">
        <v>300</v>
      </c>
      <c r="F23" s="5">
        <v>5</v>
      </c>
      <c r="G23" s="5">
        <v>1</v>
      </c>
      <c r="H23" s="5">
        <v>6</v>
      </c>
      <c r="I23" s="1">
        <f t="shared" ref="I23:I30" si="6">fn가산점(F23,G23,H23)</f>
        <v>21</v>
      </c>
      <c r="K23" s="11">
        <v>201</v>
      </c>
      <c r="L23" s="1">
        <v>400</v>
      </c>
      <c r="M23" s="12">
        <v>40.74074074074074</v>
      </c>
    </row>
    <row r="24" spans="1:13" x14ac:dyDescent="0.3">
      <c r="A24" s="1" t="str">
        <f t="shared" si="0"/>
        <v>KT-21</v>
      </c>
      <c r="B24" s="1" t="s">
        <v>80</v>
      </c>
      <c r="C24" s="4">
        <v>50</v>
      </c>
      <c r="D24" s="5">
        <f t="shared" si="1"/>
        <v>200</v>
      </c>
      <c r="E24" s="5">
        <v>350</v>
      </c>
      <c r="F24" s="5">
        <v>5</v>
      </c>
      <c r="G24" s="5">
        <v>3</v>
      </c>
      <c r="H24" s="5">
        <v>5</v>
      </c>
      <c r="I24" s="1">
        <f t="shared" si="6"/>
        <v>30</v>
      </c>
      <c r="K24" s="11">
        <v>401</v>
      </c>
      <c r="L24" s="1">
        <v>600</v>
      </c>
      <c r="M24" s="12">
        <v>25.925925925925924</v>
      </c>
    </row>
    <row r="25" spans="1:13" x14ac:dyDescent="0.3">
      <c r="A25" s="1" t="str">
        <f t="shared" si="0"/>
        <v>SB-22</v>
      </c>
      <c r="B25" s="1" t="s">
        <v>85</v>
      </c>
      <c r="C25" s="4">
        <v>108</v>
      </c>
      <c r="D25" s="5">
        <f t="shared" si="1"/>
        <v>1000</v>
      </c>
      <c r="E25" s="5">
        <v>1200</v>
      </c>
      <c r="F25" s="5">
        <v>6</v>
      </c>
      <c r="G25" s="5">
        <v>4</v>
      </c>
      <c r="H25" s="5">
        <v>8</v>
      </c>
      <c r="I25" s="1">
        <f t="shared" si="6"/>
        <v>40</v>
      </c>
      <c r="K25" s="11">
        <v>601</v>
      </c>
      <c r="L25" s="1">
        <v>1000</v>
      </c>
      <c r="M25" s="12">
        <v>11.111111111111111</v>
      </c>
    </row>
    <row r="26" spans="1:13" x14ac:dyDescent="0.3">
      <c r="A26" s="1" t="str">
        <f t="shared" si="0"/>
        <v>KY-23</v>
      </c>
      <c r="B26" s="1" t="s">
        <v>86</v>
      </c>
      <c r="C26" s="4">
        <v>105</v>
      </c>
      <c r="D26" s="5">
        <f t="shared" si="1"/>
        <v>700</v>
      </c>
      <c r="E26" s="5">
        <v>800</v>
      </c>
      <c r="F26" s="5">
        <v>5</v>
      </c>
      <c r="G26" s="5">
        <v>2</v>
      </c>
      <c r="H26" s="5">
        <v>1</v>
      </c>
      <c r="I26" s="1" t="str">
        <f t="shared" si="6"/>
        <v>가입기간미달</v>
      </c>
      <c r="K26" s="11">
        <v>1001</v>
      </c>
      <c r="L26" s="13">
        <v>3000</v>
      </c>
      <c r="M26" s="12">
        <v>14.814814814814813</v>
      </c>
    </row>
    <row r="27" spans="1:13" x14ac:dyDescent="0.3">
      <c r="A27" s="1" t="str">
        <f t="shared" si="0"/>
        <v>KT-24</v>
      </c>
      <c r="B27" s="1" t="s">
        <v>87</v>
      </c>
      <c r="C27" s="4">
        <v>69</v>
      </c>
      <c r="D27" s="5">
        <f t="shared" si="1"/>
        <v>200</v>
      </c>
      <c r="E27" s="5">
        <v>300</v>
      </c>
      <c r="F27" s="5">
        <v>13</v>
      </c>
      <c r="G27" s="5">
        <v>2</v>
      </c>
      <c r="H27" s="5">
        <v>2</v>
      </c>
      <c r="I27" s="1">
        <f t="shared" si="6"/>
        <v>38</v>
      </c>
    </row>
    <row r="28" spans="1:13" x14ac:dyDescent="0.3">
      <c r="A28" s="1" t="str">
        <f t="shared" si="0"/>
        <v>SB-25</v>
      </c>
      <c r="B28" s="1" t="s">
        <v>88</v>
      </c>
      <c r="C28" s="4">
        <v>98</v>
      </c>
      <c r="D28" s="5">
        <f t="shared" si="1"/>
        <v>600</v>
      </c>
      <c r="E28" s="5">
        <v>500</v>
      </c>
      <c r="F28" s="5">
        <v>1</v>
      </c>
      <c r="G28" s="5">
        <v>1</v>
      </c>
      <c r="H28" s="5">
        <v>5</v>
      </c>
      <c r="I28" s="1">
        <f t="shared" si="6"/>
        <v>12</v>
      </c>
    </row>
    <row r="29" spans="1:13" x14ac:dyDescent="0.3">
      <c r="A29" s="1" t="str">
        <f t="shared" si="0"/>
        <v>KY-26</v>
      </c>
      <c r="B29" s="1" t="s">
        <v>65</v>
      </c>
      <c r="C29" s="4">
        <v>69</v>
      </c>
      <c r="D29" s="5">
        <f t="shared" si="1"/>
        <v>250</v>
      </c>
      <c r="E29" s="5">
        <v>300</v>
      </c>
      <c r="F29" s="5">
        <v>8</v>
      </c>
      <c r="G29" s="5">
        <v>3</v>
      </c>
      <c r="H29" s="5">
        <v>9</v>
      </c>
      <c r="I29" s="1">
        <f t="shared" si="6"/>
        <v>40</v>
      </c>
    </row>
    <row r="30" spans="1:13" x14ac:dyDescent="0.3">
      <c r="A30" s="1" t="str">
        <f t="shared" si="0"/>
        <v>KY-27</v>
      </c>
      <c r="B30" s="1" t="s">
        <v>57</v>
      </c>
      <c r="C30" s="4">
        <v>105</v>
      </c>
      <c r="D30" s="5">
        <f t="shared" si="1"/>
        <v>700</v>
      </c>
      <c r="E30" s="5">
        <v>600</v>
      </c>
      <c r="F30" s="5">
        <v>9</v>
      </c>
      <c r="G30" s="5">
        <v>2</v>
      </c>
      <c r="H30" s="5">
        <v>5</v>
      </c>
      <c r="I30" s="1">
        <f t="shared" si="6"/>
        <v>33</v>
      </c>
    </row>
  </sheetData>
  <mergeCells count="1">
    <mergeCell ref="K21:L21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9"/>
  <sheetViews>
    <sheetView workbookViewId="0"/>
  </sheetViews>
  <sheetFormatPr defaultRowHeight="16.5" x14ac:dyDescent="0.3"/>
  <cols>
    <col min="1" max="1" width="6.375" customWidth="1"/>
    <col min="2" max="2" width="11" bestFit="1" customWidth="1"/>
    <col min="3" max="5" width="11.875" customWidth="1"/>
    <col min="7" max="7" width="17.375" bestFit="1" customWidth="1"/>
    <col min="8" max="8" width="11" customWidth="1"/>
    <col min="9" max="11" width="11.5" bestFit="1" customWidth="1"/>
    <col min="12" max="12" width="11.5" customWidth="1"/>
    <col min="13" max="13" width="8.5" customWidth="1"/>
  </cols>
  <sheetData>
    <row r="2" spans="1:13" x14ac:dyDescent="0.3">
      <c r="A2" s="20" t="s">
        <v>155</v>
      </c>
      <c r="B2" s="20" t="s">
        <v>141</v>
      </c>
      <c r="C2" s="20" t="s">
        <v>142</v>
      </c>
      <c r="D2" s="20" t="s">
        <v>143</v>
      </c>
      <c r="E2" s="20" t="s">
        <v>144</v>
      </c>
      <c r="G2" s="23" t="s">
        <v>188</v>
      </c>
      <c r="I2" s="23" t="s">
        <v>142</v>
      </c>
    </row>
    <row r="3" spans="1:13" x14ac:dyDescent="0.3">
      <c r="A3" s="21" t="s">
        <v>156</v>
      </c>
      <c r="B3" s="21" t="s">
        <v>150</v>
      </c>
      <c r="C3" s="21" t="s">
        <v>149</v>
      </c>
      <c r="D3" s="22">
        <v>300</v>
      </c>
      <c r="E3" s="22">
        <v>250</v>
      </c>
      <c r="G3" s="23" t="s">
        <v>189</v>
      </c>
      <c r="H3" s="23" t="s">
        <v>141</v>
      </c>
      <c r="I3" t="s">
        <v>147</v>
      </c>
      <c r="J3" t="s">
        <v>149</v>
      </c>
      <c r="K3" t="s">
        <v>153</v>
      </c>
      <c r="L3" t="s">
        <v>151</v>
      </c>
      <c r="M3" t="s">
        <v>187</v>
      </c>
    </row>
    <row r="4" spans="1:13" x14ac:dyDescent="0.3">
      <c r="A4" s="21" t="s">
        <v>157</v>
      </c>
      <c r="B4" s="21" t="s">
        <v>146</v>
      </c>
      <c r="C4" s="21" t="s">
        <v>147</v>
      </c>
      <c r="D4" s="22">
        <v>700</v>
      </c>
      <c r="E4" s="22">
        <v>800</v>
      </c>
      <c r="G4" t="s">
        <v>190</v>
      </c>
      <c r="I4" s="24"/>
      <c r="J4" s="24"/>
      <c r="K4" s="24"/>
      <c r="L4" s="24"/>
      <c r="M4" s="24"/>
    </row>
    <row r="5" spans="1:13" x14ac:dyDescent="0.3">
      <c r="A5" s="21" t="s">
        <v>158</v>
      </c>
      <c r="B5" s="21" t="s">
        <v>159</v>
      </c>
      <c r="C5" s="21" t="s">
        <v>149</v>
      </c>
      <c r="D5" s="22">
        <v>200</v>
      </c>
      <c r="E5" s="22">
        <v>200</v>
      </c>
      <c r="H5" t="s">
        <v>154</v>
      </c>
      <c r="I5" s="24">
        <v>1100</v>
      </c>
      <c r="J5" s="24"/>
      <c r="K5" s="24">
        <v>400</v>
      </c>
      <c r="L5" s="24"/>
      <c r="M5" s="24">
        <v>1500</v>
      </c>
    </row>
    <row r="6" spans="1:13" x14ac:dyDescent="0.3">
      <c r="A6" s="21" t="s">
        <v>160</v>
      </c>
      <c r="B6" s="21" t="s">
        <v>152</v>
      </c>
      <c r="C6" s="21" t="s">
        <v>147</v>
      </c>
      <c r="D6" s="22">
        <v>1000</v>
      </c>
      <c r="E6" s="22">
        <v>1500</v>
      </c>
      <c r="H6" t="s">
        <v>148</v>
      </c>
      <c r="I6" s="24"/>
      <c r="J6" s="24">
        <v>600</v>
      </c>
      <c r="K6" s="24"/>
      <c r="L6" s="24"/>
      <c r="M6" s="24">
        <v>600</v>
      </c>
    </row>
    <row r="7" spans="1:13" x14ac:dyDescent="0.3">
      <c r="A7" s="21" t="s">
        <v>161</v>
      </c>
      <c r="B7" s="21" t="s">
        <v>150</v>
      </c>
      <c r="C7" s="21" t="s">
        <v>153</v>
      </c>
      <c r="D7" s="22">
        <v>600</v>
      </c>
      <c r="E7" s="22">
        <v>550</v>
      </c>
      <c r="H7" t="s">
        <v>146</v>
      </c>
      <c r="I7" s="24">
        <v>1600</v>
      </c>
      <c r="J7" s="24">
        <v>300</v>
      </c>
      <c r="K7" s="24">
        <v>300</v>
      </c>
      <c r="L7" s="24"/>
      <c r="M7" s="24">
        <v>2200</v>
      </c>
    </row>
    <row r="8" spans="1:13" x14ac:dyDescent="0.3">
      <c r="A8" s="21" t="s">
        <v>162</v>
      </c>
      <c r="B8" s="21" t="s">
        <v>154</v>
      </c>
      <c r="C8" s="21" t="s">
        <v>153</v>
      </c>
      <c r="D8" s="22">
        <v>400</v>
      </c>
      <c r="E8" s="22">
        <v>400</v>
      </c>
      <c r="G8" t="s">
        <v>191</v>
      </c>
      <c r="I8" s="24"/>
      <c r="J8" s="24"/>
      <c r="K8" s="24"/>
      <c r="L8" s="24"/>
      <c r="M8" s="24"/>
    </row>
    <row r="9" spans="1:13" x14ac:dyDescent="0.3">
      <c r="A9" s="21" t="s">
        <v>163</v>
      </c>
      <c r="B9" s="21" t="s">
        <v>146</v>
      </c>
      <c r="C9" s="21" t="s">
        <v>149</v>
      </c>
      <c r="D9" s="22">
        <v>250</v>
      </c>
      <c r="E9" s="22">
        <v>300</v>
      </c>
      <c r="H9" t="s">
        <v>152</v>
      </c>
      <c r="I9" s="24">
        <v>3500</v>
      </c>
      <c r="J9" s="24"/>
      <c r="K9" s="24">
        <v>500</v>
      </c>
      <c r="L9" s="24"/>
      <c r="M9" s="24">
        <v>4000</v>
      </c>
    </row>
    <row r="10" spans="1:13" x14ac:dyDescent="0.3">
      <c r="A10" s="21" t="s">
        <v>164</v>
      </c>
      <c r="B10" s="21" t="s">
        <v>165</v>
      </c>
      <c r="C10" s="21" t="s">
        <v>153</v>
      </c>
      <c r="D10" s="22">
        <v>300</v>
      </c>
      <c r="E10" s="22">
        <v>250</v>
      </c>
      <c r="H10" t="s">
        <v>150</v>
      </c>
      <c r="I10" s="24">
        <v>1500</v>
      </c>
      <c r="J10" s="24">
        <v>700</v>
      </c>
      <c r="K10" s="24">
        <v>1050</v>
      </c>
      <c r="L10" s="24">
        <v>2000</v>
      </c>
      <c r="M10" s="24">
        <v>5250</v>
      </c>
    </row>
    <row r="11" spans="1:13" x14ac:dyDescent="0.3">
      <c r="A11" s="21" t="s">
        <v>166</v>
      </c>
      <c r="B11" s="21" t="s">
        <v>159</v>
      </c>
      <c r="C11" s="21" t="s">
        <v>149</v>
      </c>
      <c r="D11" s="22">
        <v>200</v>
      </c>
      <c r="E11" s="22">
        <v>350</v>
      </c>
      <c r="G11" t="s">
        <v>192</v>
      </c>
      <c r="I11" s="24"/>
      <c r="J11" s="24"/>
      <c r="K11" s="24"/>
      <c r="L11" s="24"/>
      <c r="M11" s="24"/>
    </row>
    <row r="12" spans="1:13" x14ac:dyDescent="0.3">
      <c r="A12" s="21" t="s">
        <v>167</v>
      </c>
      <c r="B12" s="21" t="s">
        <v>148</v>
      </c>
      <c r="C12" s="21" t="s">
        <v>149</v>
      </c>
      <c r="D12" s="22">
        <v>250</v>
      </c>
      <c r="E12" s="22">
        <v>300</v>
      </c>
      <c r="H12" t="s">
        <v>169</v>
      </c>
      <c r="I12" s="24"/>
      <c r="J12" s="24">
        <v>100</v>
      </c>
      <c r="K12" s="24">
        <v>250</v>
      </c>
      <c r="L12" s="24"/>
      <c r="M12" s="24">
        <v>350</v>
      </c>
    </row>
    <row r="13" spans="1:13" x14ac:dyDescent="0.3">
      <c r="A13" s="21" t="s">
        <v>168</v>
      </c>
      <c r="B13" s="21" t="s">
        <v>169</v>
      </c>
      <c r="C13" s="21" t="s">
        <v>149</v>
      </c>
      <c r="D13" s="22">
        <v>200</v>
      </c>
      <c r="E13" s="22">
        <v>100</v>
      </c>
      <c r="H13" t="s">
        <v>165</v>
      </c>
      <c r="I13" s="24"/>
      <c r="J13" s="24">
        <v>300</v>
      </c>
      <c r="K13" s="24">
        <v>250</v>
      </c>
      <c r="L13" s="24"/>
      <c r="M13" s="24">
        <v>550</v>
      </c>
    </row>
    <row r="14" spans="1:13" x14ac:dyDescent="0.3">
      <c r="A14" s="21" t="s">
        <v>170</v>
      </c>
      <c r="B14" s="21" t="s">
        <v>150</v>
      </c>
      <c r="C14" s="21" t="s">
        <v>151</v>
      </c>
      <c r="D14" s="22">
        <v>1500</v>
      </c>
      <c r="E14" s="22">
        <v>2000</v>
      </c>
      <c r="H14" t="s">
        <v>159</v>
      </c>
      <c r="I14" s="24"/>
      <c r="J14" s="24">
        <v>900</v>
      </c>
      <c r="K14" s="24"/>
      <c r="L14" s="24"/>
      <c r="M14" s="24">
        <v>900</v>
      </c>
    </row>
    <row r="15" spans="1:13" x14ac:dyDescent="0.3">
      <c r="A15" s="21" t="s">
        <v>171</v>
      </c>
      <c r="B15" s="21" t="s">
        <v>154</v>
      </c>
      <c r="C15" s="21" t="s">
        <v>147</v>
      </c>
      <c r="D15" s="22">
        <v>700</v>
      </c>
      <c r="E15" s="22">
        <v>500</v>
      </c>
      <c r="H15" t="s">
        <v>177</v>
      </c>
      <c r="I15" s="24">
        <v>500</v>
      </c>
      <c r="J15" s="24"/>
      <c r="K15" s="24"/>
      <c r="L15" s="24"/>
      <c r="M15" s="24">
        <v>500</v>
      </c>
    </row>
    <row r="16" spans="1:13" x14ac:dyDescent="0.3">
      <c r="A16" s="21" t="s">
        <v>172</v>
      </c>
      <c r="B16" s="21" t="s">
        <v>152</v>
      </c>
      <c r="C16" s="21" t="s">
        <v>147</v>
      </c>
      <c r="D16" s="22">
        <v>1000</v>
      </c>
      <c r="E16" s="22">
        <v>800</v>
      </c>
      <c r="G16" t="s">
        <v>187</v>
      </c>
      <c r="I16" s="24">
        <v>8200</v>
      </c>
      <c r="J16" s="24">
        <v>2900</v>
      </c>
      <c r="K16" s="24">
        <v>2750</v>
      </c>
      <c r="L16" s="24">
        <v>2000</v>
      </c>
      <c r="M16" s="24">
        <v>15850</v>
      </c>
    </row>
    <row r="17" spans="1:5" x14ac:dyDescent="0.3">
      <c r="A17" s="21" t="s">
        <v>173</v>
      </c>
      <c r="B17" s="21" t="s">
        <v>169</v>
      </c>
      <c r="C17" s="21" t="s">
        <v>153</v>
      </c>
      <c r="D17" s="22">
        <v>300</v>
      </c>
      <c r="E17" s="22">
        <v>250</v>
      </c>
    </row>
    <row r="18" spans="1:5" x14ac:dyDescent="0.3">
      <c r="A18" s="21" t="s">
        <v>174</v>
      </c>
      <c r="B18" s="21" t="s">
        <v>150</v>
      </c>
      <c r="C18" s="21" t="s">
        <v>149</v>
      </c>
      <c r="D18" s="22">
        <v>300</v>
      </c>
      <c r="E18" s="22">
        <v>450</v>
      </c>
    </row>
    <row r="19" spans="1:5" x14ac:dyDescent="0.3">
      <c r="A19" s="21" t="s">
        <v>175</v>
      </c>
      <c r="B19" s="21" t="s">
        <v>150</v>
      </c>
      <c r="C19" s="21" t="s">
        <v>147</v>
      </c>
      <c r="D19" s="22">
        <v>1000</v>
      </c>
      <c r="E19" s="22">
        <v>1500</v>
      </c>
    </row>
    <row r="20" spans="1:5" x14ac:dyDescent="0.3">
      <c r="A20" s="21" t="s">
        <v>176</v>
      </c>
      <c r="B20" s="21" t="s">
        <v>177</v>
      </c>
      <c r="C20" s="21" t="s">
        <v>147</v>
      </c>
      <c r="D20" s="22">
        <v>400</v>
      </c>
      <c r="E20" s="22">
        <v>500</v>
      </c>
    </row>
    <row r="21" spans="1:5" x14ac:dyDescent="0.3">
      <c r="A21" s="21" t="s">
        <v>178</v>
      </c>
      <c r="B21" s="21" t="s">
        <v>152</v>
      </c>
      <c r="C21" s="21" t="s">
        <v>153</v>
      </c>
      <c r="D21" s="22">
        <v>600</v>
      </c>
      <c r="E21" s="22">
        <v>500</v>
      </c>
    </row>
    <row r="22" spans="1:5" x14ac:dyDescent="0.3">
      <c r="A22" s="21" t="s">
        <v>179</v>
      </c>
      <c r="B22" s="21" t="s">
        <v>146</v>
      </c>
      <c r="C22" s="21" t="s">
        <v>153</v>
      </c>
      <c r="D22" s="22">
        <v>400</v>
      </c>
      <c r="E22" s="22">
        <v>300</v>
      </c>
    </row>
    <row r="23" spans="1:5" x14ac:dyDescent="0.3">
      <c r="A23" s="21" t="s">
        <v>180</v>
      </c>
      <c r="B23" s="21" t="s">
        <v>159</v>
      </c>
      <c r="C23" s="21" t="s">
        <v>149</v>
      </c>
      <c r="D23" s="22">
        <v>200</v>
      </c>
      <c r="E23" s="22">
        <v>350</v>
      </c>
    </row>
    <row r="24" spans="1:5" x14ac:dyDescent="0.3">
      <c r="A24" s="21" t="s">
        <v>181</v>
      </c>
      <c r="B24" s="21" t="s">
        <v>152</v>
      </c>
      <c r="C24" s="21" t="s">
        <v>147</v>
      </c>
      <c r="D24" s="22">
        <v>1000</v>
      </c>
      <c r="E24" s="22">
        <v>1200</v>
      </c>
    </row>
    <row r="25" spans="1:5" x14ac:dyDescent="0.3">
      <c r="A25" s="21" t="s">
        <v>182</v>
      </c>
      <c r="B25" s="21" t="s">
        <v>146</v>
      </c>
      <c r="C25" s="21" t="s">
        <v>147</v>
      </c>
      <c r="D25" s="22">
        <v>700</v>
      </c>
      <c r="E25" s="22">
        <v>800</v>
      </c>
    </row>
    <row r="26" spans="1:5" x14ac:dyDescent="0.3">
      <c r="A26" s="21" t="s">
        <v>183</v>
      </c>
      <c r="B26" s="21" t="s">
        <v>165</v>
      </c>
      <c r="C26" s="21" t="s">
        <v>149</v>
      </c>
      <c r="D26" s="22">
        <v>200</v>
      </c>
      <c r="E26" s="22">
        <v>300</v>
      </c>
    </row>
    <row r="27" spans="1:5" x14ac:dyDescent="0.3">
      <c r="A27" s="21" t="s">
        <v>184</v>
      </c>
      <c r="B27" s="21" t="s">
        <v>150</v>
      </c>
      <c r="C27" s="21" t="s">
        <v>153</v>
      </c>
      <c r="D27" s="22">
        <v>600</v>
      </c>
      <c r="E27" s="22">
        <v>500</v>
      </c>
    </row>
    <row r="28" spans="1:5" x14ac:dyDescent="0.3">
      <c r="A28" s="21" t="s">
        <v>185</v>
      </c>
      <c r="B28" s="21" t="s">
        <v>148</v>
      </c>
      <c r="C28" s="21" t="s">
        <v>149</v>
      </c>
      <c r="D28" s="22">
        <v>250</v>
      </c>
      <c r="E28" s="22">
        <v>300</v>
      </c>
    </row>
    <row r="29" spans="1:5" x14ac:dyDescent="0.3">
      <c r="A29" s="21" t="s">
        <v>186</v>
      </c>
      <c r="B29" s="21" t="s">
        <v>154</v>
      </c>
      <c r="C29" s="21" t="s">
        <v>147</v>
      </c>
      <c r="D29" s="22">
        <v>700</v>
      </c>
      <c r="E29" s="22">
        <v>600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K18"/>
  <sheetViews>
    <sheetView workbookViewId="0"/>
  </sheetViews>
  <sheetFormatPr defaultRowHeight="16.5" x14ac:dyDescent="0.3"/>
  <cols>
    <col min="1" max="1" width="6.375" customWidth="1"/>
    <col min="2" max="2" width="9.125" customWidth="1"/>
    <col min="3" max="6" width="6.25" customWidth="1"/>
    <col min="7" max="7" width="6" customWidth="1"/>
    <col min="8" max="12" width="5.625" customWidth="1"/>
  </cols>
  <sheetData>
    <row r="2" spans="1:11" x14ac:dyDescent="0.3">
      <c r="B2" t="s">
        <v>89</v>
      </c>
    </row>
    <row r="3" spans="1:11" x14ac:dyDescent="0.3">
      <c r="B3" s="1" t="s">
        <v>90</v>
      </c>
      <c r="C3" s="1" t="s">
        <v>91</v>
      </c>
      <c r="D3" s="1" t="s">
        <v>92</v>
      </c>
      <c r="E3" s="1" t="s">
        <v>93</v>
      </c>
      <c r="F3" s="1" t="s">
        <v>94</v>
      </c>
      <c r="G3" s="3" t="s">
        <v>95</v>
      </c>
    </row>
    <row r="4" spans="1:11" x14ac:dyDescent="0.3">
      <c r="B4" s="1" t="s">
        <v>96</v>
      </c>
      <c r="C4" s="1">
        <v>78</v>
      </c>
      <c r="D4" s="1">
        <v>84</v>
      </c>
      <c r="E4" s="1">
        <v>88</v>
      </c>
      <c r="F4" s="1">
        <v>92</v>
      </c>
      <c r="G4" s="26">
        <f>SUMPRODUCT(C4:F4,C5:F5)</f>
        <v>84.6</v>
      </c>
    </row>
    <row r="5" spans="1:11" x14ac:dyDescent="0.3">
      <c r="B5" s="1" t="s">
        <v>97</v>
      </c>
      <c r="C5" s="14">
        <v>0.3</v>
      </c>
      <c r="D5" s="14">
        <v>0.3</v>
      </c>
      <c r="E5" s="14">
        <v>0.2</v>
      </c>
      <c r="F5" s="14">
        <v>0.2</v>
      </c>
      <c r="G5" s="26"/>
    </row>
    <row r="7" spans="1:11" x14ac:dyDescent="0.3">
      <c r="B7" s="15" t="s">
        <v>98</v>
      </c>
    </row>
    <row r="8" spans="1:11" x14ac:dyDescent="0.3">
      <c r="C8" t="s">
        <v>99</v>
      </c>
    </row>
    <row r="9" spans="1:11" x14ac:dyDescent="0.3">
      <c r="B9" s="3">
        <f>SUMPRODUCT(C4:F4,C5:F5)</f>
        <v>84.6</v>
      </c>
      <c r="C9" s="3">
        <v>60</v>
      </c>
      <c r="D9" s="3">
        <v>65</v>
      </c>
      <c r="E9" s="3">
        <v>70</v>
      </c>
      <c r="F9" s="3">
        <v>75</v>
      </c>
      <c r="G9" s="3">
        <v>80</v>
      </c>
      <c r="H9" s="3">
        <v>85</v>
      </c>
      <c r="I9" s="3">
        <v>90</v>
      </c>
      <c r="J9" s="3">
        <v>95</v>
      </c>
      <c r="K9" s="3">
        <v>100</v>
      </c>
    </row>
    <row r="10" spans="1:11" x14ac:dyDescent="0.3">
      <c r="A10" s="16" t="s">
        <v>100</v>
      </c>
      <c r="B10" s="3">
        <v>60</v>
      </c>
      <c r="C10" s="1">
        <f t="dataTable" ref="C10:K18" dt2D="1" dtr="1" r1="C4" r2="E4"/>
        <v>73.600000000000009</v>
      </c>
      <c r="D10" s="1">
        <v>75.100000000000009</v>
      </c>
      <c r="E10" s="1">
        <v>76.600000000000009</v>
      </c>
      <c r="F10" s="1">
        <v>78.100000000000009</v>
      </c>
      <c r="G10" s="1">
        <v>79.600000000000009</v>
      </c>
      <c r="H10" s="1">
        <v>81.100000000000009</v>
      </c>
      <c r="I10" s="1">
        <v>82.600000000000009</v>
      </c>
      <c r="J10" s="1">
        <v>84.100000000000009</v>
      </c>
      <c r="K10" s="1">
        <v>85.600000000000009</v>
      </c>
    </row>
    <row r="11" spans="1:11" x14ac:dyDescent="0.3">
      <c r="A11" s="16" t="s">
        <v>101</v>
      </c>
      <c r="B11" s="3">
        <v>65</v>
      </c>
      <c r="C11" s="1">
        <v>74.600000000000009</v>
      </c>
      <c r="D11" s="1">
        <v>76.100000000000009</v>
      </c>
      <c r="E11" s="1">
        <v>77.600000000000009</v>
      </c>
      <c r="F11" s="1">
        <v>79.100000000000009</v>
      </c>
      <c r="G11" s="1">
        <v>80.600000000000009</v>
      </c>
      <c r="H11" s="1">
        <v>82.100000000000009</v>
      </c>
      <c r="I11" s="1">
        <v>83.600000000000009</v>
      </c>
      <c r="J11" s="1">
        <v>85.100000000000009</v>
      </c>
      <c r="K11" s="1">
        <v>86.600000000000009</v>
      </c>
    </row>
    <row r="12" spans="1:11" x14ac:dyDescent="0.3">
      <c r="A12" s="16" t="s">
        <v>102</v>
      </c>
      <c r="B12" s="3">
        <v>70</v>
      </c>
      <c r="C12" s="1">
        <v>75.600000000000009</v>
      </c>
      <c r="D12" s="1">
        <v>77.100000000000009</v>
      </c>
      <c r="E12" s="1">
        <v>78.600000000000009</v>
      </c>
      <c r="F12" s="1">
        <v>80.100000000000009</v>
      </c>
      <c r="G12" s="1">
        <v>81.600000000000009</v>
      </c>
      <c r="H12" s="1">
        <v>83.100000000000009</v>
      </c>
      <c r="I12" s="1">
        <v>84.600000000000009</v>
      </c>
      <c r="J12" s="1">
        <v>86.100000000000009</v>
      </c>
      <c r="K12" s="1">
        <v>87.600000000000009</v>
      </c>
    </row>
    <row r="13" spans="1:11" x14ac:dyDescent="0.3">
      <c r="A13" s="16" t="s">
        <v>103</v>
      </c>
      <c r="B13" s="3">
        <v>75</v>
      </c>
      <c r="C13" s="1">
        <v>76.600000000000009</v>
      </c>
      <c r="D13" s="1">
        <v>78.100000000000009</v>
      </c>
      <c r="E13" s="1">
        <v>79.600000000000009</v>
      </c>
      <c r="F13" s="1">
        <v>81.100000000000009</v>
      </c>
      <c r="G13" s="1">
        <v>82.600000000000009</v>
      </c>
      <c r="H13" s="1">
        <v>84.100000000000009</v>
      </c>
      <c r="I13" s="1">
        <v>85.600000000000009</v>
      </c>
      <c r="J13" s="1">
        <v>87.100000000000009</v>
      </c>
      <c r="K13" s="1">
        <v>88.600000000000009</v>
      </c>
    </row>
    <row r="14" spans="1:11" x14ac:dyDescent="0.3">
      <c r="B14" s="3">
        <v>80</v>
      </c>
      <c r="C14" s="1">
        <v>77.600000000000009</v>
      </c>
      <c r="D14" s="1">
        <v>79.100000000000009</v>
      </c>
      <c r="E14" s="1">
        <v>80.600000000000009</v>
      </c>
      <c r="F14" s="1">
        <v>82.100000000000009</v>
      </c>
      <c r="G14" s="1">
        <v>83.600000000000009</v>
      </c>
      <c r="H14" s="1">
        <v>85.100000000000009</v>
      </c>
      <c r="I14" s="1">
        <v>86.600000000000009</v>
      </c>
      <c r="J14" s="1">
        <v>88.100000000000009</v>
      </c>
      <c r="K14" s="1">
        <v>89.600000000000009</v>
      </c>
    </row>
    <row r="15" spans="1:11" x14ac:dyDescent="0.3">
      <c r="B15" s="3">
        <v>85</v>
      </c>
      <c r="C15" s="1">
        <v>78.600000000000009</v>
      </c>
      <c r="D15" s="1">
        <v>80.100000000000009</v>
      </c>
      <c r="E15" s="1">
        <v>81.600000000000009</v>
      </c>
      <c r="F15" s="1">
        <v>83.100000000000009</v>
      </c>
      <c r="G15" s="1">
        <v>84.600000000000009</v>
      </c>
      <c r="H15" s="1">
        <v>86.100000000000009</v>
      </c>
      <c r="I15" s="1">
        <v>87.600000000000009</v>
      </c>
      <c r="J15" s="1">
        <v>89.100000000000009</v>
      </c>
      <c r="K15" s="1">
        <v>90.600000000000009</v>
      </c>
    </row>
    <row r="16" spans="1:11" x14ac:dyDescent="0.3">
      <c r="B16" s="3">
        <v>90</v>
      </c>
      <c r="C16" s="1">
        <v>79.600000000000009</v>
      </c>
      <c r="D16" s="1">
        <v>81.100000000000009</v>
      </c>
      <c r="E16" s="1">
        <v>82.600000000000009</v>
      </c>
      <c r="F16" s="1">
        <v>84.100000000000009</v>
      </c>
      <c r="G16" s="1">
        <v>85.600000000000009</v>
      </c>
      <c r="H16" s="1">
        <v>87.100000000000009</v>
      </c>
      <c r="I16" s="1">
        <v>88.600000000000009</v>
      </c>
      <c r="J16" s="1">
        <v>90.100000000000009</v>
      </c>
      <c r="K16" s="1">
        <v>91.600000000000009</v>
      </c>
    </row>
    <row r="17" spans="2:11" x14ac:dyDescent="0.3">
      <c r="B17" s="3">
        <v>95</v>
      </c>
      <c r="C17" s="1">
        <v>80.600000000000009</v>
      </c>
      <c r="D17" s="1">
        <v>82.100000000000009</v>
      </c>
      <c r="E17" s="1">
        <v>83.600000000000009</v>
      </c>
      <c r="F17" s="1">
        <v>85.100000000000009</v>
      </c>
      <c r="G17" s="1">
        <v>86.600000000000009</v>
      </c>
      <c r="H17" s="1">
        <v>88.100000000000009</v>
      </c>
      <c r="I17" s="1">
        <v>89.600000000000009</v>
      </c>
      <c r="J17" s="1">
        <v>91.100000000000009</v>
      </c>
      <c r="K17" s="1">
        <v>92.600000000000009</v>
      </c>
    </row>
    <row r="18" spans="2:11" x14ac:dyDescent="0.3">
      <c r="B18" s="3">
        <v>100</v>
      </c>
      <c r="C18" s="1">
        <v>81.600000000000009</v>
      </c>
      <c r="D18" s="1">
        <v>83.100000000000009</v>
      </c>
      <c r="E18" s="1">
        <v>84.600000000000009</v>
      </c>
      <c r="F18" s="1">
        <v>86.100000000000009</v>
      </c>
      <c r="G18" s="1">
        <v>87.600000000000009</v>
      </c>
      <c r="H18" s="1">
        <v>89.100000000000009</v>
      </c>
      <c r="I18" s="1">
        <v>90.600000000000009</v>
      </c>
      <c r="J18" s="1">
        <v>92.100000000000009</v>
      </c>
      <c r="K18" s="1">
        <v>93.600000000000009</v>
      </c>
    </row>
  </sheetData>
  <mergeCells count="1">
    <mergeCell ref="G4:G5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13"/>
  <sheetViews>
    <sheetView workbookViewId="0"/>
  </sheetViews>
  <sheetFormatPr defaultRowHeight="16.5" x14ac:dyDescent="0.3"/>
  <cols>
    <col min="2" max="2" width="8" customWidth="1"/>
    <col min="3" max="4" width="11.25" customWidth="1"/>
    <col min="5" max="5" width="4.875" customWidth="1"/>
    <col min="6" max="6" width="8.125" customWidth="1"/>
    <col min="7" max="8" width="12" customWidth="1"/>
    <col min="9" max="9" width="4.75" customWidth="1"/>
    <col min="10" max="10" width="8.25" customWidth="1"/>
    <col min="11" max="12" width="10.375" customWidth="1"/>
  </cols>
  <sheetData>
    <row r="2" spans="2:12" x14ac:dyDescent="0.3">
      <c r="B2" s="17" t="s">
        <v>104</v>
      </c>
      <c r="C2" s="18"/>
      <c r="D2" s="18"/>
      <c r="F2" s="17" t="s">
        <v>105</v>
      </c>
      <c r="G2" s="18"/>
      <c r="H2" s="18"/>
      <c r="J2" s="17" t="s">
        <v>106</v>
      </c>
      <c r="K2" s="18"/>
      <c r="L2" s="18"/>
    </row>
    <row r="3" spans="2:12" x14ac:dyDescent="0.3">
      <c r="B3" s="1" t="s">
        <v>107</v>
      </c>
      <c r="C3" s="1" t="s">
        <v>108</v>
      </c>
      <c r="D3" s="1" t="s">
        <v>109</v>
      </c>
      <c r="F3" s="1" t="s">
        <v>107</v>
      </c>
      <c r="G3" s="1" t="s">
        <v>108</v>
      </c>
      <c r="H3" s="1" t="s">
        <v>109</v>
      </c>
      <c r="J3" s="1" t="s">
        <v>107</v>
      </c>
      <c r="K3" s="1" t="s">
        <v>108</v>
      </c>
      <c r="L3" s="1" t="s">
        <v>109</v>
      </c>
    </row>
    <row r="4" spans="2:12" x14ac:dyDescent="0.3">
      <c r="B4" s="1" t="s">
        <v>110</v>
      </c>
      <c r="C4" s="19">
        <v>42444</v>
      </c>
      <c r="D4" s="19">
        <v>42445</v>
      </c>
      <c r="F4" s="1" t="s">
        <v>110</v>
      </c>
      <c r="G4" s="19">
        <v>42445</v>
      </c>
      <c r="H4" s="19">
        <v>42449</v>
      </c>
      <c r="J4" s="1" t="s">
        <v>110</v>
      </c>
      <c r="K4" s="19">
        <v>42452</v>
      </c>
      <c r="L4" s="19">
        <v>42453</v>
      </c>
    </row>
    <row r="5" spans="2:12" x14ac:dyDescent="0.3">
      <c r="B5" s="1" t="s">
        <v>111</v>
      </c>
      <c r="C5" s="19">
        <v>42445</v>
      </c>
      <c r="D5" s="19">
        <v>42446</v>
      </c>
      <c r="F5" s="1" t="s">
        <v>111</v>
      </c>
      <c r="G5" s="19">
        <v>42447</v>
      </c>
      <c r="H5" s="19">
        <v>42448</v>
      </c>
      <c r="J5" s="1" t="s">
        <v>111</v>
      </c>
      <c r="K5" s="19">
        <v>42455</v>
      </c>
      <c r="L5" s="19">
        <v>42457</v>
      </c>
    </row>
    <row r="6" spans="2:12" x14ac:dyDescent="0.3">
      <c r="B6" s="1" t="s">
        <v>112</v>
      </c>
      <c r="C6" s="19">
        <v>42448</v>
      </c>
      <c r="D6" s="19">
        <v>42452</v>
      </c>
      <c r="F6" s="1" t="s">
        <v>112</v>
      </c>
      <c r="G6" s="19">
        <v>42456</v>
      </c>
      <c r="H6" s="19">
        <v>42456</v>
      </c>
      <c r="J6" s="1" t="s">
        <v>112</v>
      </c>
      <c r="K6" s="19">
        <v>42458</v>
      </c>
      <c r="L6" s="19">
        <v>42462</v>
      </c>
    </row>
    <row r="7" spans="2:12" x14ac:dyDescent="0.3">
      <c r="B7" s="1" t="s">
        <v>113</v>
      </c>
      <c r="C7" s="19">
        <v>42452</v>
      </c>
      <c r="D7" s="19">
        <v>42455</v>
      </c>
      <c r="F7" s="1" t="s">
        <v>113</v>
      </c>
      <c r="G7" s="19">
        <v>42457</v>
      </c>
      <c r="H7" s="19">
        <v>42459</v>
      </c>
      <c r="J7" s="1" t="s">
        <v>113</v>
      </c>
      <c r="K7" s="19">
        <v>42460</v>
      </c>
      <c r="L7" s="19">
        <v>42465</v>
      </c>
    </row>
    <row r="8" spans="2:12" x14ac:dyDescent="0.3">
      <c r="B8" s="1" t="s">
        <v>114</v>
      </c>
      <c r="C8" s="19">
        <v>42445</v>
      </c>
      <c r="D8" s="19">
        <v>42448</v>
      </c>
      <c r="F8" s="1" t="s">
        <v>114</v>
      </c>
      <c r="G8" s="19">
        <v>42453</v>
      </c>
      <c r="H8" s="19">
        <v>42455</v>
      </c>
      <c r="J8" s="1" t="s">
        <v>114</v>
      </c>
      <c r="K8" s="19">
        <v>42455</v>
      </c>
      <c r="L8" s="19">
        <v>42460</v>
      </c>
    </row>
    <row r="9" spans="2:12" x14ac:dyDescent="0.3">
      <c r="B9" s="1" t="s">
        <v>115</v>
      </c>
      <c r="C9" s="19">
        <v>42452</v>
      </c>
      <c r="D9" s="19">
        <v>42455</v>
      </c>
      <c r="F9" s="1" t="s">
        <v>115</v>
      </c>
      <c r="G9" s="19">
        <v>42456</v>
      </c>
      <c r="H9" s="19">
        <v>42458</v>
      </c>
      <c r="J9" s="1" t="s">
        <v>115</v>
      </c>
      <c r="K9" s="19">
        <v>42460</v>
      </c>
      <c r="L9" s="19">
        <v>42465</v>
      </c>
    </row>
    <row r="10" spans="2:12" x14ac:dyDescent="0.3">
      <c r="B10" s="1" t="s">
        <v>116</v>
      </c>
      <c r="C10" s="19">
        <v>42456</v>
      </c>
      <c r="D10" s="19">
        <v>42456</v>
      </c>
      <c r="F10" s="1" t="s">
        <v>116</v>
      </c>
      <c r="G10" s="19">
        <v>42461</v>
      </c>
      <c r="H10" s="19">
        <v>42461</v>
      </c>
      <c r="J10" s="1" t="s">
        <v>116</v>
      </c>
      <c r="K10" s="19">
        <v>42463</v>
      </c>
      <c r="L10" s="19">
        <v>42467</v>
      </c>
    </row>
    <row r="11" spans="2:12" x14ac:dyDescent="0.3">
      <c r="B11" s="1" t="s">
        <v>117</v>
      </c>
      <c r="C11" s="19">
        <v>42458</v>
      </c>
      <c r="D11" s="19">
        <v>42460</v>
      </c>
      <c r="F11" s="1" t="s">
        <v>117</v>
      </c>
      <c r="G11" s="19">
        <v>42459</v>
      </c>
      <c r="H11" s="19">
        <v>42460</v>
      </c>
      <c r="J11" s="1" t="s">
        <v>117</v>
      </c>
      <c r="K11" s="19">
        <v>42467</v>
      </c>
      <c r="L11" s="19">
        <v>42470</v>
      </c>
    </row>
    <row r="12" spans="2:12" x14ac:dyDescent="0.3">
      <c r="B12" s="1" t="s">
        <v>118</v>
      </c>
      <c r="C12" s="19">
        <v>42456</v>
      </c>
      <c r="D12" s="19">
        <v>42457</v>
      </c>
      <c r="F12" s="1" t="s">
        <v>118</v>
      </c>
      <c r="G12" s="19">
        <v>42456</v>
      </c>
      <c r="H12" s="19">
        <v>42458</v>
      </c>
      <c r="J12" s="1" t="s">
        <v>118</v>
      </c>
      <c r="K12" s="19">
        <v>42466</v>
      </c>
      <c r="L12" s="19">
        <v>42470</v>
      </c>
    </row>
    <row r="13" spans="2:12" x14ac:dyDescent="0.3">
      <c r="B13" s="1" t="s">
        <v>119</v>
      </c>
      <c r="C13" s="19">
        <v>42462</v>
      </c>
      <c r="D13" s="19">
        <v>42462</v>
      </c>
      <c r="F13" s="1" t="s">
        <v>119</v>
      </c>
      <c r="G13" s="19">
        <v>42464</v>
      </c>
      <c r="H13" s="19">
        <v>42464</v>
      </c>
      <c r="J13" s="1" t="s">
        <v>119</v>
      </c>
      <c r="K13" s="19">
        <v>42469</v>
      </c>
      <c r="L13" s="19">
        <v>42473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J20"/>
  <sheetViews>
    <sheetView workbookViewId="0"/>
  </sheetViews>
  <sheetFormatPr defaultRowHeight="16.5" x14ac:dyDescent="0.3"/>
  <cols>
    <col min="1" max="1" width="6" customWidth="1"/>
    <col min="2" max="2" width="11.625" customWidth="1"/>
    <col min="4" max="4" width="25" customWidth="1"/>
    <col min="6" max="6" width="12.5" customWidth="1"/>
    <col min="7" max="7" width="12" customWidth="1"/>
    <col min="9" max="9" width="4.25" customWidth="1"/>
    <col min="10" max="10" width="11.625" customWidth="1"/>
    <col min="13" max="13" width="11.25" customWidth="1"/>
  </cols>
  <sheetData>
    <row r="3" spans="2:10" x14ac:dyDescent="0.3">
      <c r="B3" t="s">
        <v>120</v>
      </c>
      <c r="J3" t="s">
        <v>121</v>
      </c>
    </row>
    <row r="4" spans="2:10" x14ac:dyDescent="0.3">
      <c r="B4" s="1" t="s">
        <v>122</v>
      </c>
      <c r="C4" s="1" t="s">
        <v>123</v>
      </c>
      <c r="D4" s="1" t="s">
        <v>124</v>
      </c>
      <c r="E4" s="1" t="s">
        <v>125</v>
      </c>
      <c r="F4" s="1" t="s">
        <v>126</v>
      </c>
      <c r="G4" s="1" t="s">
        <v>127</v>
      </c>
      <c r="H4" s="1" t="s">
        <v>128</v>
      </c>
      <c r="J4" s="1" t="s">
        <v>122</v>
      </c>
    </row>
    <row r="5" spans="2:10" x14ac:dyDescent="0.3">
      <c r="B5" s="5" t="s">
        <v>129</v>
      </c>
      <c r="C5" s="5" t="s">
        <v>130</v>
      </c>
      <c r="D5" s="5" t="s">
        <v>131</v>
      </c>
      <c r="E5" s="5">
        <v>35000</v>
      </c>
      <c r="F5" s="5" t="s">
        <v>132</v>
      </c>
      <c r="G5" s="5" t="s">
        <v>133</v>
      </c>
      <c r="H5" s="5" t="s">
        <v>134</v>
      </c>
      <c r="J5" s="1" t="s">
        <v>135</v>
      </c>
    </row>
    <row r="6" spans="2:10" x14ac:dyDescent="0.3">
      <c r="B6" s="5"/>
      <c r="C6" s="5"/>
      <c r="D6" s="5"/>
      <c r="E6" s="5"/>
      <c r="F6" s="5"/>
      <c r="G6" s="5"/>
      <c r="H6" s="5"/>
      <c r="J6" s="1" t="s">
        <v>136</v>
      </c>
    </row>
    <row r="7" spans="2:10" x14ac:dyDescent="0.3">
      <c r="B7" s="5"/>
      <c r="C7" s="5"/>
      <c r="D7" s="5"/>
      <c r="E7" s="5"/>
      <c r="F7" s="5"/>
      <c r="G7" s="5"/>
      <c r="H7" s="5"/>
      <c r="J7" s="1" t="s">
        <v>137</v>
      </c>
    </row>
    <row r="8" spans="2:10" x14ac:dyDescent="0.3">
      <c r="B8" s="5"/>
      <c r="C8" s="5"/>
      <c r="D8" s="5"/>
      <c r="E8" s="5"/>
      <c r="F8" s="5"/>
      <c r="G8" s="5"/>
      <c r="H8" s="5"/>
      <c r="J8" s="1" t="s">
        <v>138</v>
      </c>
    </row>
    <row r="9" spans="2:10" x14ac:dyDescent="0.3">
      <c r="B9" s="5"/>
      <c r="C9" s="5"/>
      <c r="D9" s="5"/>
      <c r="E9" s="5"/>
      <c r="F9" s="5"/>
      <c r="G9" s="5"/>
      <c r="H9" s="5"/>
      <c r="J9" s="1" t="s">
        <v>139</v>
      </c>
    </row>
    <row r="10" spans="2:10" x14ac:dyDescent="0.3">
      <c r="B10" s="5"/>
      <c r="C10" s="5"/>
      <c r="D10" s="5"/>
      <c r="E10" s="5"/>
      <c r="F10" s="5"/>
      <c r="G10" s="5"/>
      <c r="H10" s="5"/>
      <c r="J10" s="1" t="s">
        <v>140</v>
      </c>
    </row>
    <row r="11" spans="2:10" x14ac:dyDescent="0.3">
      <c r="B11" s="5"/>
      <c r="C11" s="5"/>
      <c r="D11" s="5"/>
      <c r="E11" s="5"/>
      <c r="F11" s="5"/>
      <c r="G11" s="5"/>
      <c r="H11" s="5"/>
    </row>
    <row r="12" spans="2:10" x14ac:dyDescent="0.3">
      <c r="B12" s="5"/>
      <c r="C12" s="5"/>
      <c r="D12" s="5"/>
      <c r="E12" s="5"/>
      <c r="F12" s="5"/>
      <c r="G12" s="5"/>
      <c r="H12" s="5"/>
    </row>
    <row r="13" spans="2:10" x14ac:dyDescent="0.3">
      <c r="B13" s="5"/>
      <c r="C13" s="5"/>
      <c r="D13" s="5"/>
      <c r="E13" s="5"/>
      <c r="F13" s="5"/>
      <c r="G13" s="5"/>
      <c r="H13" s="5"/>
    </row>
    <row r="14" spans="2:10" x14ac:dyDescent="0.3">
      <c r="B14" s="5"/>
      <c r="C14" s="5"/>
      <c r="D14" s="5"/>
      <c r="E14" s="5"/>
      <c r="F14" s="5"/>
      <c r="G14" s="5"/>
      <c r="H14" s="5"/>
    </row>
    <row r="15" spans="2:10" x14ac:dyDescent="0.3">
      <c r="B15" s="5"/>
      <c r="C15" s="5"/>
      <c r="D15" s="5"/>
      <c r="E15" s="5"/>
      <c r="F15" s="5"/>
      <c r="G15" s="5"/>
      <c r="H15" s="5"/>
    </row>
    <row r="16" spans="2:10" x14ac:dyDescent="0.3">
      <c r="B16" s="5"/>
      <c r="C16" s="5"/>
      <c r="D16" s="5"/>
      <c r="E16" s="5"/>
      <c r="F16" s="5"/>
      <c r="G16" s="5"/>
      <c r="H16" s="5"/>
    </row>
    <row r="17" spans="2:8" x14ac:dyDescent="0.3">
      <c r="B17" s="5"/>
      <c r="C17" s="5"/>
      <c r="D17" s="5"/>
      <c r="E17" s="5"/>
      <c r="F17" s="5"/>
      <c r="G17" s="5"/>
      <c r="H17" s="5"/>
    </row>
    <row r="18" spans="2:8" x14ac:dyDescent="0.3">
      <c r="B18" s="5"/>
      <c r="C18" s="5"/>
      <c r="D18" s="5"/>
      <c r="E18" s="5"/>
      <c r="F18" s="5"/>
      <c r="G18" s="5"/>
      <c r="H18" s="5"/>
    </row>
    <row r="19" spans="2:8" x14ac:dyDescent="0.3">
      <c r="B19" s="5"/>
      <c r="C19" s="5"/>
      <c r="D19" s="5"/>
      <c r="E19" s="5"/>
      <c r="F19" s="5"/>
      <c r="G19" s="5"/>
      <c r="H19" s="5"/>
    </row>
    <row r="20" spans="2:8" x14ac:dyDescent="0.3">
      <c r="B20" s="5"/>
      <c r="C20" s="5"/>
      <c r="D20" s="5"/>
      <c r="E20" s="5"/>
      <c r="F20" s="5"/>
      <c r="G20" s="5"/>
      <c r="H20" s="5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도서등록">
          <controlPr defaultSize="0" autoLine="0" r:id="rId4">
            <anchor moveWithCells="1">
              <from>
                <xdr:col>6</xdr:col>
                <xdr:colOff>361950</xdr:colOff>
                <xdr:row>0</xdr:row>
                <xdr:rowOff>57150</xdr:rowOff>
              </from>
              <to>
                <xdr:col>7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3073" r:id="rId3" name="cmd도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2017-08-31T01:29:47Z</dcterms:created>
  <dcterms:modified xsi:type="dcterms:W3CDTF">2017-09-05T11:18:41Z</dcterms:modified>
</cp:coreProperties>
</file>