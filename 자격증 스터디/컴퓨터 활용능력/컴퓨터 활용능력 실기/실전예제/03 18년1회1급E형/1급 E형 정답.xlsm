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135" windowWidth="28035" windowHeight="13005"/>
  </bookViews>
  <sheets>
    <sheet name="기본작업-1" sheetId="2" r:id="rId1"/>
    <sheet name="기본작업-2" sheetId="3" r:id="rId2"/>
    <sheet name="계산작업" sheetId="1" r:id="rId3"/>
    <sheet name="분석작업-1" sheetId="5" r:id="rId4"/>
    <sheet name="분석작업-2" sheetId="6" r:id="rId5"/>
    <sheet name="기타작업-1" sheetId="7" r:id="rId6"/>
    <sheet name="기타작업-2" sheetId="8" r:id="rId7"/>
  </sheets>
  <functionGroups builtInGroupCount="17"/>
  <definedNames>
    <definedName name="_xlnm._FilterDatabase" localSheetId="0" hidden="1">'기본작업-1'!#REF!</definedName>
    <definedName name="_xlnm._FilterDatabase" localSheetId="1" hidden="1">'기본작업-2'!$B$3:$I$31</definedName>
    <definedName name="_xlnm.Criteria" localSheetId="0">'기본작업-1'!#REF!</definedName>
    <definedName name="_xlnm.Criteria" localSheetId="1">'기본작업-2'!$B$33:$B$34</definedName>
    <definedName name="_xlnm.Extract" localSheetId="0">'기본작업-1'!#REF!</definedName>
    <definedName name="_xlnm.Extract" localSheetId="1">'기본작업-2'!$D$33:$G$33</definedName>
    <definedName name="MS_Access_Database_Query" localSheetId="0" hidden="1">'기본작업-1'!$B$2:$F$8</definedName>
    <definedName name="_xlnm.Print_Area" localSheetId="1">'기본작업-2'!$B$3:$I$31</definedName>
    <definedName name="_xlnm.Print_Titles" localSheetId="1">'기본작업-2'!$3:$3</definedName>
  </definedNames>
  <calcPr calcId="145621"/>
  <pivotCaches>
    <pivotCache cacheId="2" r:id="rId8"/>
  </pivotCaches>
</workbook>
</file>

<file path=xl/calcChain.xml><?xml version="1.0" encoding="utf-8"?>
<calcChain xmlns="http://schemas.openxmlformats.org/spreadsheetml/2006/main">
  <c r="C9" i="6" l="1"/>
  <c r="F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D6" i="6" l="1"/>
  <c r="B34" i="3" l="1"/>
  <c r="J19" i="1" l="1" a="1"/>
  <c r="J19" i="1" s="1"/>
  <c r="J20" i="1" a="1"/>
  <c r="J20" i="1"/>
  <c r="J21" i="1" a="1"/>
  <c r="J21" i="1" s="1"/>
  <c r="J22" i="1" a="1"/>
  <c r="J22" i="1" s="1"/>
  <c r="J23" i="1" a="1"/>
  <c r="J23" i="1" s="1"/>
  <c r="J18" i="1" a="1"/>
  <c r="J18" i="1" s="1"/>
  <c r="D4" i="1"/>
  <c r="L10" i="1" a="1"/>
  <c r="L13" i="1" s="1"/>
  <c r="K10" i="1" a="1"/>
  <c r="K13" i="1" s="1"/>
  <c r="G5" i="1"/>
  <c r="G22" i="1"/>
  <c r="G6" i="1"/>
  <c r="G32" i="1"/>
  <c r="G16" i="1"/>
  <c r="G26" i="1"/>
  <c r="G10" i="1"/>
  <c r="G13" i="1"/>
  <c r="G20" i="1"/>
  <c r="G19" i="1"/>
  <c r="G30" i="1"/>
  <c r="G33" i="1"/>
  <c r="G17" i="1"/>
  <c r="G12" i="1"/>
  <c r="G23" i="1"/>
  <c r="G11" i="1"/>
  <c r="G9" i="1"/>
  <c r="G15" i="1"/>
  <c r="G29" i="1"/>
  <c r="G8" i="1"/>
  <c r="G18" i="1"/>
  <c r="G28" i="1"/>
  <c r="G27" i="1"/>
  <c r="G21" i="1"/>
  <c r="G31" i="1"/>
  <c r="G25" i="1"/>
  <c r="G24" i="1"/>
  <c r="G14" i="1"/>
  <c r="G4" i="1"/>
  <c r="G7" i="1"/>
  <c r="L12" i="1" l="1"/>
  <c r="L11" i="1"/>
  <c r="L14" i="1"/>
  <c r="L10" i="1"/>
  <c r="K12" i="1"/>
  <c r="K11" i="1"/>
  <c r="K14" i="1"/>
  <c r="K10" i="1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D:\11 메일링서비스\컴활1급실기-메일링\18년3회대비-컴활1급실기\18년1회1급E형\진료내역.accdb;DefaultDir=D:\11 메일링서비스\컴활1급실기-메일링\18년3회대비-컴활1급실기\18년1회1급E형;DriverId=25;FIL=MS Access;MaxBufferSize=2048;PageTimeout=5;" command="SELECT A병원.성명, A병원.생년월일, A병원.성별, A병원.진료과목, A병원.진료일_x000d__x000a_FROM A병원 A병원_x000d__x000a_WHERE (A병원.진료과목='흉부외과') AND (A병원.진료일&gt;={ts '2018-02-01 00:00:00'} And A병원.진료일&lt;={ts '2018-03-31 00:00:00'}) OR (A병원.진료과목='정형외과') AND (A병원.진료일&gt;={ts '2018-02-01 00:00:00'} And A병원.진료일&lt;={ts '2018-03-31 00:00:00'})_x000d__x000a_ORDER BY A병원.진료과목, A병원.진료일 DESC"/>
  </connection>
</connections>
</file>

<file path=xl/sharedStrings.xml><?xml version="1.0" encoding="utf-8"?>
<sst xmlns="http://schemas.openxmlformats.org/spreadsheetml/2006/main" count="516" uniqueCount="304">
  <si>
    <t>[표1]</t>
    <phoneticPr fontId="1" type="noConversion"/>
  </si>
  <si>
    <t>[표2]</t>
    <phoneticPr fontId="1" type="noConversion"/>
  </si>
  <si>
    <t>홍길동</t>
  </si>
  <si>
    <t>[표1]</t>
    <phoneticPr fontId="1" type="noConversion"/>
  </si>
  <si>
    <t>성명</t>
    <phoneticPr fontId="1" type="noConversion"/>
  </si>
  <si>
    <t>행사내용</t>
    <phoneticPr fontId="1" type="noConversion"/>
  </si>
  <si>
    <t>인원</t>
    <phoneticPr fontId="1" type="noConversion"/>
  </si>
  <si>
    <t>행사일</t>
    <phoneticPr fontId="1" type="noConversion"/>
  </si>
  <si>
    <t xml:space="preserve">시작일 : </t>
    <phoneticPr fontId="1" type="noConversion"/>
  </si>
  <si>
    <t>돌잔치</t>
    <phoneticPr fontId="1" type="noConversion"/>
  </si>
  <si>
    <t>결혼식</t>
    <phoneticPr fontId="1" type="noConversion"/>
  </si>
  <si>
    <t>[표2]</t>
    <phoneticPr fontId="1" type="noConversion"/>
  </si>
  <si>
    <t xml:space="preserve">diamond hall </t>
    <phoneticPr fontId="1" type="noConversion"/>
  </si>
  <si>
    <t xml:space="preserve">ruby hall </t>
    <phoneticPr fontId="1" type="noConversion"/>
  </si>
  <si>
    <t xml:space="preserve">emerald hall </t>
    <phoneticPr fontId="1" type="noConversion"/>
  </si>
  <si>
    <t>crystal hall</t>
    <phoneticPr fontId="1" type="noConversion"/>
  </si>
  <si>
    <t>인원수</t>
    <phoneticPr fontId="1" type="noConversion"/>
  </si>
  <si>
    <t>돌잔치</t>
    <phoneticPr fontId="1" type="noConversion"/>
  </si>
  <si>
    <t>결혼식</t>
    <phoneticPr fontId="1" type="noConversion"/>
  </si>
  <si>
    <t>홀이름</t>
    <phoneticPr fontId="1" type="noConversion"/>
  </si>
  <si>
    <t>월</t>
    <phoneticPr fontId="1" type="noConversion"/>
  </si>
  <si>
    <t>행사건수</t>
    <phoneticPr fontId="1" type="noConversion"/>
  </si>
  <si>
    <t>날짜</t>
    <phoneticPr fontId="1" type="noConversion"/>
  </si>
  <si>
    <t>공휴일</t>
    <phoneticPr fontId="1" type="noConversion"/>
  </si>
  <si>
    <t>신정</t>
    <phoneticPr fontId="1" type="noConversion"/>
  </si>
  <si>
    <t>삼일절</t>
    <phoneticPr fontId="1" type="noConversion"/>
  </si>
  <si>
    <t>설 연휴</t>
    <phoneticPr fontId="1" type="noConversion"/>
  </si>
  <si>
    <t>석가탄신일</t>
    <phoneticPr fontId="1" type="noConversion"/>
  </si>
  <si>
    <t>현충일</t>
    <phoneticPr fontId="1" type="noConversion"/>
  </si>
  <si>
    <t>비고</t>
    <phoneticPr fontId="1" type="noConversion"/>
  </si>
  <si>
    <t>김기완</t>
    <phoneticPr fontId="1" type="noConversion"/>
  </si>
  <si>
    <t>성정아</t>
    <phoneticPr fontId="1" type="noConversion"/>
  </si>
  <si>
    <t>이기봉</t>
    <phoneticPr fontId="1" type="noConversion"/>
  </si>
  <si>
    <t>안산진</t>
    <phoneticPr fontId="1" type="noConversion"/>
  </si>
  <si>
    <t>이석호</t>
    <phoneticPr fontId="1" type="noConversion"/>
  </si>
  <si>
    <t>양미진</t>
    <phoneticPr fontId="1" type="noConversion"/>
  </si>
  <si>
    <t>유인하</t>
    <phoneticPr fontId="1" type="noConversion"/>
  </si>
  <si>
    <t>김경지</t>
    <phoneticPr fontId="1" type="noConversion"/>
  </si>
  <si>
    <t>이신호</t>
    <phoneticPr fontId="1" type="noConversion"/>
  </si>
  <si>
    <t>최익현</t>
    <phoneticPr fontId="1" type="noConversion"/>
  </si>
  <si>
    <t>김상중</t>
    <phoneticPr fontId="1" type="noConversion"/>
  </si>
  <si>
    <t>윤미화</t>
    <phoneticPr fontId="1" type="noConversion"/>
  </si>
  <si>
    <t>이연경</t>
    <phoneticPr fontId="1" type="noConversion"/>
  </si>
  <si>
    <t>김호야</t>
    <phoneticPr fontId="1" type="noConversion"/>
  </si>
  <si>
    <t>이솔비</t>
    <phoneticPr fontId="1" type="noConversion"/>
  </si>
  <si>
    <t>김은희</t>
    <phoneticPr fontId="1" type="noConversion"/>
  </si>
  <si>
    <t>이미영</t>
    <phoneticPr fontId="1" type="noConversion"/>
  </si>
  <si>
    <t>조신정</t>
    <phoneticPr fontId="1" type="noConversion"/>
  </si>
  <si>
    <t>안혜정</t>
    <phoneticPr fontId="1" type="noConversion"/>
  </si>
  <si>
    <t>김윤희</t>
    <phoneticPr fontId="1" type="noConversion"/>
  </si>
  <si>
    <t>이남동</t>
    <phoneticPr fontId="1" type="noConversion"/>
  </si>
  <si>
    <t>김윤남</t>
    <phoneticPr fontId="1" type="noConversion"/>
  </si>
  <si>
    <t>윤석현</t>
    <phoneticPr fontId="1" type="noConversion"/>
  </si>
  <si>
    <t>최동국</t>
    <phoneticPr fontId="1" type="noConversion"/>
  </si>
  <si>
    <t>양용진</t>
    <phoneticPr fontId="1" type="noConversion"/>
  </si>
  <si>
    <t>김원성</t>
    <phoneticPr fontId="1" type="noConversion"/>
  </si>
  <si>
    <t>양숙경</t>
    <phoneticPr fontId="1" type="noConversion"/>
  </si>
  <si>
    <t>홍인식</t>
    <phoneticPr fontId="1" type="noConversion"/>
  </si>
  <si>
    <t>김봉선</t>
    <phoneticPr fontId="1" type="noConversion"/>
  </si>
  <si>
    <t>최동민</t>
    <phoneticPr fontId="1" type="noConversion"/>
  </si>
  <si>
    <t>진료과목</t>
  </si>
  <si>
    <t>진료과목</t>
    <phoneticPr fontId="1" type="noConversion"/>
  </si>
  <si>
    <t>생년월일</t>
  </si>
  <si>
    <t>생년월일</t>
    <phoneticPr fontId="1" type="noConversion"/>
  </si>
  <si>
    <t>진료일</t>
  </si>
  <si>
    <t>진료일</t>
    <phoneticPr fontId="1" type="noConversion"/>
  </si>
  <si>
    <t>진료시간</t>
    <phoneticPr fontId="1" type="noConversion"/>
  </si>
  <si>
    <t>[표1]</t>
    <phoneticPr fontId="1" type="noConversion"/>
  </si>
  <si>
    <t>성별</t>
  </si>
  <si>
    <t>성별</t>
    <phoneticPr fontId="1" type="noConversion"/>
  </si>
  <si>
    <t>성명</t>
  </si>
  <si>
    <t>성명</t>
    <phoneticPr fontId="1" type="noConversion"/>
  </si>
  <si>
    <t>호흡기내과</t>
    <phoneticPr fontId="1" type="noConversion"/>
  </si>
  <si>
    <t>소화기내과</t>
    <phoneticPr fontId="1" type="noConversion"/>
  </si>
  <si>
    <t>신경외과</t>
    <phoneticPr fontId="1" type="noConversion"/>
  </si>
  <si>
    <t>가정의학과</t>
    <phoneticPr fontId="1" type="noConversion"/>
  </si>
  <si>
    <t>산부인과</t>
    <phoneticPr fontId="1" type="noConversion"/>
  </si>
  <si>
    <t>흉부외과</t>
  </si>
  <si>
    <t>흉부외과</t>
    <phoneticPr fontId="1" type="noConversion"/>
  </si>
  <si>
    <t>정형외과</t>
  </si>
  <si>
    <t>정형외과</t>
    <phoneticPr fontId="1" type="noConversion"/>
  </si>
  <si>
    <t>피부과</t>
    <phoneticPr fontId="1" type="noConversion"/>
  </si>
  <si>
    <t>담당의사</t>
    <phoneticPr fontId="1" type="noConversion"/>
  </si>
  <si>
    <t>성애연</t>
  </si>
  <si>
    <t>소금진</t>
  </si>
  <si>
    <t>강말순</t>
  </si>
  <si>
    <t>김상호</t>
  </si>
  <si>
    <t>김병철</t>
  </si>
  <si>
    <t>전만호</t>
  </si>
  <si>
    <t>전준호</t>
  </si>
  <si>
    <t>용화숙</t>
  </si>
  <si>
    <t>이수만</t>
  </si>
  <si>
    <t>이종호</t>
  </si>
  <si>
    <t>진보람</t>
  </si>
  <si>
    <t>오현정</t>
  </si>
  <si>
    <t>김지수</t>
  </si>
  <si>
    <t>남민종</t>
  </si>
  <si>
    <t>편영표</t>
  </si>
  <si>
    <t>곽수지</t>
  </si>
  <si>
    <t>김종남</t>
  </si>
  <si>
    <t>임지영</t>
  </si>
  <si>
    <t>박종식</t>
  </si>
  <si>
    <t>하석태</t>
  </si>
  <si>
    <t>이남석</t>
  </si>
  <si>
    <t>황귀영</t>
  </si>
  <si>
    <t>심수미</t>
  </si>
  <si>
    <t>박철수</t>
  </si>
  <si>
    <t>이태백</t>
  </si>
  <si>
    <t>양경숙</t>
  </si>
  <si>
    <t>이영덕</t>
  </si>
  <si>
    <t>강진희</t>
  </si>
  <si>
    <t>김정근</t>
  </si>
  <si>
    <t>장길산</t>
  </si>
  <si>
    <t>김창무</t>
  </si>
  <si>
    <t>유경수</t>
  </si>
  <si>
    <t>A013</t>
  </si>
  <si>
    <t>A014</t>
  </si>
  <si>
    <t>A015</t>
  </si>
  <si>
    <t>A017</t>
  </si>
  <si>
    <t>A018</t>
  </si>
  <si>
    <t>B215</t>
    <phoneticPr fontId="1" type="noConversion"/>
  </si>
  <si>
    <t>B216</t>
  </si>
  <si>
    <t>B217</t>
  </si>
  <si>
    <t>B218</t>
  </si>
  <si>
    <t>B219</t>
  </si>
  <si>
    <t>C106</t>
  </si>
  <si>
    <t>C109</t>
  </si>
  <si>
    <t>D210</t>
    <phoneticPr fontId="1" type="noConversion"/>
  </si>
  <si>
    <t>D213</t>
  </si>
  <si>
    <t>D217</t>
  </si>
  <si>
    <t>F301</t>
    <phoneticPr fontId="1" type="noConversion"/>
  </si>
  <si>
    <t>F302</t>
  </si>
  <si>
    <t>D051</t>
    <phoneticPr fontId="1" type="noConversion"/>
  </si>
  <si>
    <t>D052</t>
  </si>
  <si>
    <t>D371</t>
    <phoneticPr fontId="1" type="noConversion"/>
  </si>
  <si>
    <t>C228</t>
    <phoneticPr fontId="1" type="noConversion"/>
  </si>
  <si>
    <t>C229</t>
  </si>
  <si>
    <t>A011</t>
    <phoneticPr fontId="1" type="noConversion"/>
  </si>
  <si>
    <t>A051</t>
    <phoneticPr fontId="1" type="noConversion"/>
  </si>
  <si>
    <t>C101</t>
    <phoneticPr fontId="1" type="noConversion"/>
  </si>
  <si>
    <t>D372</t>
    <phoneticPr fontId="1" type="noConversion"/>
  </si>
  <si>
    <t>D331</t>
    <phoneticPr fontId="1" type="noConversion"/>
  </si>
  <si>
    <t>F491</t>
    <phoneticPr fontId="1" type="noConversion"/>
  </si>
  <si>
    <t>여</t>
  </si>
  <si>
    <t>여</t>
    <phoneticPr fontId="1" type="noConversion"/>
  </si>
  <si>
    <t>남</t>
  </si>
  <si>
    <t>남</t>
    <phoneticPr fontId="1" type="noConversion"/>
  </si>
  <si>
    <t>남</t>
    <phoneticPr fontId="1" type="noConversion"/>
  </si>
  <si>
    <t>여</t>
    <phoneticPr fontId="1" type="noConversion"/>
  </si>
  <si>
    <t>남</t>
    <phoneticPr fontId="1" type="noConversion"/>
  </si>
  <si>
    <t>이샛별</t>
    <phoneticPr fontId="1" type="noConversion"/>
  </si>
  <si>
    <t>임효인</t>
    <phoneticPr fontId="1" type="noConversion"/>
  </si>
  <si>
    <t>이유라</t>
    <phoneticPr fontId="1" type="noConversion"/>
  </si>
  <si>
    <t>김서우</t>
    <phoneticPr fontId="1" type="noConversion"/>
  </si>
  <si>
    <t>여</t>
    <phoneticPr fontId="1" type="noConversion"/>
  </si>
  <si>
    <t>조건</t>
    <phoneticPr fontId="1" type="noConversion"/>
  </si>
  <si>
    <t>환자코드</t>
    <phoneticPr fontId="1" type="noConversion"/>
  </si>
  <si>
    <t>정형외과</t>
    <phoneticPr fontId="1" type="noConversion"/>
  </si>
  <si>
    <t>작업일</t>
    <phoneticPr fontId="1" type="noConversion"/>
  </si>
  <si>
    <t>[표3] 행사내용과 인원에 따른 빈도수</t>
    <phoneticPr fontId="1" type="noConversion"/>
  </si>
  <si>
    <t>[표4] 월별 행사건수</t>
    <phoneticPr fontId="1" type="noConversion"/>
  </si>
  <si>
    <t>[표5] 상반기 공휴일</t>
    <phoneticPr fontId="1" type="noConversion"/>
  </si>
  <si>
    <t>총합계</t>
  </si>
  <si>
    <t>호흡기내과</t>
  </si>
  <si>
    <t>1월</t>
  </si>
  <si>
    <t>2월</t>
  </si>
  <si>
    <t>3월</t>
  </si>
  <si>
    <t>4월</t>
  </si>
  <si>
    <t>5월</t>
  </si>
  <si>
    <t>12월</t>
  </si>
  <si>
    <t>행사내용</t>
  </si>
  <si>
    <t>행사일</t>
  </si>
  <si>
    <t>돌잔치</t>
  </si>
  <si>
    <t>Crystal Hall</t>
  </si>
  <si>
    <t>043</t>
  </si>
  <si>
    <t>63일 남음</t>
  </si>
  <si>
    <t xml:space="preserve">Diamond Hall </t>
  </si>
  <si>
    <t>007</t>
  </si>
  <si>
    <t>8일 남음</t>
  </si>
  <si>
    <t/>
  </si>
  <si>
    <t>063</t>
  </si>
  <si>
    <t>91일 남음</t>
  </si>
  <si>
    <t>결혼식</t>
  </si>
  <si>
    <t>042</t>
  </si>
  <si>
    <t>62일 남음</t>
  </si>
  <si>
    <t xml:space="preserve">Ruby Hall </t>
  </si>
  <si>
    <t>003</t>
  </si>
  <si>
    <t>4일 남음</t>
  </si>
  <si>
    <t>019</t>
  </si>
  <si>
    <t>29일 남음</t>
  </si>
  <si>
    <t>012</t>
  </si>
  <si>
    <t>19일 남음</t>
  </si>
  <si>
    <t>004</t>
  </si>
  <si>
    <t>5일 남음</t>
  </si>
  <si>
    <t>054</t>
  </si>
  <si>
    <t>78일 남음</t>
  </si>
  <si>
    <t>028</t>
  </si>
  <si>
    <t>42일 남음</t>
  </si>
  <si>
    <t>057</t>
  </si>
  <si>
    <t>83일 남음</t>
  </si>
  <si>
    <t>081</t>
  </si>
  <si>
    <t>118일 남음</t>
  </si>
  <si>
    <t>011</t>
  </si>
  <si>
    <t>18일 남음</t>
  </si>
  <si>
    <t>087</t>
  </si>
  <si>
    <t>129일 남음</t>
  </si>
  <si>
    <t>078</t>
  </si>
  <si>
    <t>114일 남음</t>
  </si>
  <si>
    <t>030</t>
  </si>
  <si>
    <t>46일 남음</t>
  </si>
  <si>
    <t>031</t>
  </si>
  <si>
    <t>47일 남음</t>
  </si>
  <si>
    <t xml:space="preserve">Emerald Hall </t>
  </si>
  <si>
    <t>034</t>
  </si>
  <si>
    <t>52일 남음</t>
  </si>
  <si>
    <t>059</t>
  </si>
  <si>
    <t>87일 남음</t>
  </si>
  <si>
    <t>066</t>
  </si>
  <si>
    <t>96일 남음</t>
  </si>
  <si>
    <t>045</t>
  </si>
  <si>
    <t>67일 남음</t>
  </si>
  <si>
    <t>099</t>
  </si>
  <si>
    <t>145일 남음</t>
  </si>
  <si>
    <t>024</t>
  </si>
  <si>
    <t>38일 남음</t>
  </si>
  <si>
    <t>성명</t>
    <phoneticPr fontId="1" type="noConversion"/>
  </si>
  <si>
    <t>행사내용</t>
    <phoneticPr fontId="1" type="noConversion"/>
  </si>
  <si>
    <t>인원</t>
    <phoneticPr fontId="1" type="noConversion"/>
  </si>
  <si>
    <t>홀이름</t>
    <phoneticPr fontId="1" type="noConversion"/>
  </si>
  <si>
    <t>행사일</t>
    <phoneticPr fontId="1" type="noConversion"/>
  </si>
  <si>
    <t>작업일</t>
    <phoneticPr fontId="1" type="noConversion"/>
  </si>
  <si>
    <t>비고</t>
    <phoneticPr fontId="1" type="noConversion"/>
  </si>
  <si>
    <t>김기완</t>
    <phoneticPr fontId="1" type="noConversion"/>
  </si>
  <si>
    <t>돌잔치</t>
    <phoneticPr fontId="1" type="noConversion"/>
  </si>
  <si>
    <t>성정아</t>
    <phoneticPr fontId="1" type="noConversion"/>
  </si>
  <si>
    <t>이기봉</t>
    <phoneticPr fontId="1" type="noConversion"/>
  </si>
  <si>
    <t>안산진</t>
    <phoneticPr fontId="1" type="noConversion"/>
  </si>
  <si>
    <t>이석호</t>
    <phoneticPr fontId="1" type="noConversion"/>
  </si>
  <si>
    <t>결혼식</t>
    <phoneticPr fontId="1" type="noConversion"/>
  </si>
  <si>
    <t>양미진</t>
    <phoneticPr fontId="1" type="noConversion"/>
  </si>
  <si>
    <t>유인하</t>
    <phoneticPr fontId="1" type="noConversion"/>
  </si>
  <si>
    <t>김경지</t>
    <phoneticPr fontId="1" type="noConversion"/>
  </si>
  <si>
    <t>이신호</t>
    <phoneticPr fontId="1" type="noConversion"/>
  </si>
  <si>
    <t>최익현</t>
    <phoneticPr fontId="1" type="noConversion"/>
  </si>
  <si>
    <t>김상중</t>
    <phoneticPr fontId="1" type="noConversion"/>
  </si>
  <si>
    <t>윤미화</t>
    <phoneticPr fontId="1" type="noConversion"/>
  </si>
  <si>
    <t>이연경</t>
    <phoneticPr fontId="1" type="noConversion"/>
  </si>
  <si>
    <t>김호야</t>
    <phoneticPr fontId="1" type="noConversion"/>
  </si>
  <si>
    <t>이솔비</t>
    <phoneticPr fontId="1" type="noConversion"/>
  </si>
  <si>
    <t>김은희</t>
    <phoneticPr fontId="1" type="noConversion"/>
  </si>
  <si>
    <t>이미영</t>
    <phoneticPr fontId="1" type="noConversion"/>
  </si>
  <si>
    <t>조신정</t>
    <phoneticPr fontId="1" type="noConversion"/>
  </si>
  <si>
    <t>안혜정</t>
    <phoneticPr fontId="1" type="noConversion"/>
  </si>
  <si>
    <t>김윤희</t>
    <phoneticPr fontId="1" type="noConversion"/>
  </si>
  <si>
    <t>이남동</t>
    <phoneticPr fontId="1" type="noConversion"/>
  </si>
  <si>
    <t>김윤남</t>
    <phoneticPr fontId="1" type="noConversion"/>
  </si>
  <si>
    <t>윤석현</t>
    <phoneticPr fontId="1" type="noConversion"/>
  </si>
  <si>
    <t>최동국</t>
    <phoneticPr fontId="1" type="noConversion"/>
  </si>
  <si>
    <t>양용진</t>
    <phoneticPr fontId="1" type="noConversion"/>
  </si>
  <si>
    <t>김원성</t>
    <phoneticPr fontId="1" type="noConversion"/>
  </si>
  <si>
    <t>양숙경</t>
    <phoneticPr fontId="1" type="noConversion"/>
  </si>
  <si>
    <t>홍인식</t>
    <phoneticPr fontId="1" type="noConversion"/>
  </si>
  <si>
    <t>김봉선</t>
    <phoneticPr fontId="1" type="noConversion"/>
  </si>
  <si>
    <t>최동민</t>
    <phoneticPr fontId="1" type="noConversion"/>
  </si>
  <si>
    <t>평균 : 인원</t>
  </si>
  <si>
    <t>6월</t>
  </si>
  <si>
    <t>구입가격</t>
    <phoneticPr fontId="1" type="noConversion"/>
  </si>
  <si>
    <t>잔존가치</t>
    <phoneticPr fontId="1" type="noConversion"/>
  </si>
  <si>
    <t>수명년수</t>
    <phoneticPr fontId="1" type="noConversion"/>
  </si>
  <si>
    <t>감가상각액</t>
    <phoneticPr fontId="1" type="noConversion"/>
  </si>
  <si>
    <t>제품명</t>
    <phoneticPr fontId="1" type="noConversion"/>
  </si>
  <si>
    <t>자동차</t>
    <phoneticPr fontId="1" type="noConversion"/>
  </si>
  <si>
    <t>수명년수</t>
    <phoneticPr fontId="1" type="noConversion"/>
  </si>
  <si>
    <t>잔존가치</t>
    <phoneticPr fontId="1" type="noConversion"/>
  </si>
  <si>
    <t>[표2]</t>
    <phoneticPr fontId="1" type="noConversion"/>
  </si>
  <si>
    <t>[표1]</t>
    <phoneticPr fontId="1" type="noConversion"/>
  </si>
  <si>
    <t>예약자</t>
    <phoneticPr fontId="1" type="noConversion"/>
  </si>
  <si>
    <t>진료과목</t>
    <phoneticPr fontId="1" type="noConversion"/>
  </si>
  <si>
    <t>진료의사</t>
    <phoneticPr fontId="1" type="noConversion"/>
  </si>
  <si>
    <t>진료일</t>
    <phoneticPr fontId="1" type="noConversion"/>
  </si>
  <si>
    <t>진료시간</t>
    <phoneticPr fontId="1" type="noConversion"/>
  </si>
  <si>
    <t>비고</t>
    <phoneticPr fontId="1" type="noConversion"/>
  </si>
  <si>
    <t>진료과목</t>
    <phoneticPr fontId="1" type="noConversion"/>
  </si>
  <si>
    <t>진료의사</t>
    <phoneticPr fontId="1" type="noConversion"/>
  </si>
  <si>
    <t>시간외진료</t>
  </si>
  <si>
    <t>1월</t>
    <phoneticPr fontId="1" type="noConversion"/>
  </si>
  <si>
    <t>7월</t>
  </si>
  <si>
    <t>8월</t>
  </si>
  <si>
    <t>9월</t>
  </si>
  <si>
    <t>10월</t>
  </si>
  <si>
    <t>11월</t>
  </si>
  <si>
    <t>[표1]</t>
    <phoneticPr fontId="1" type="noConversion"/>
  </si>
  <si>
    <t>월별 모의고사 평균</t>
    <phoneticPr fontId="1" type="noConversion"/>
  </si>
  <si>
    <t>김경숙</t>
    <phoneticPr fontId="1" type="noConversion"/>
  </si>
  <si>
    <t>양숙희</t>
    <phoneticPr fontId="1" type="noConversion"/>
  </si>
  <si>
    <t>조민국</t>
    <phoneticPr fontId="1" type="noConversion"/>
  </si>
  <si>
    <t>이상동</t>
    <phoneticPr fontId="1" type="noConversion"/>
  </si>
  <si>
    <t>김하진</t>
    <phoneticPr fontId="1" type="noConversion"/>
  </si>
  <si>
    <t>유민하</t>
    <phoneticPr fontId="1" type="noConversion"/>
  </si>
  <si>
    <t>이름</t>
    <phoneticPr fontId="1" type="noConversion"/>
  </si>
  <si>
    <t>성명</t>
    <phoneticPr fontId="1" type="noConversion"/>
  </si>
  <si>
    <t>생년월일</t>
    <phoneticPr fontId="1" type="noConversion"/>
  </si>
  <si>
    <t>진료과목</t>
    <phoneticPr fontId="1" type="noConversion"/>
  </si>
  <si>
    <t>진료시간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</si>
</sst>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₩&quot;#,##0;[Red]\-&quot;₩&quot;#,##0"/>
    <numFmt numFmtId="42" formatCode="_-&quot;₩&quot;* #,##0_-;\-&quot;₩&quot;* #,##0_-;_-&quot;₩&quot;* &quot;-&quot;_-;_-@_-"/>
    <numFmt numFmtId="176" formatCode="[$-409]h:mm\ AM/PM;@"/>
    <numFmt numFmtId="177" formatCode="General&quot; 이상&quot;"/>
    <numFmt numFmtId="178" formatCode="General&quot; 미만&quot;"/>
    <numFmt numFmtId="179" formatCode="General&quot; ~&quot;"/>
    <numFmt numFmtId="180" formatCode="General&quot;월&quot;"/>
    <numFmt numFmtId="181" formatCode="mm&quot;월&quot;\ dd&quot;일&quot;"/>
    <numFmt numFmtId="182" formatCode="hh:mm"/>
    <numFmt numFmtId="183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8" fontId="0" fillId="0" borderId="1" xfId="0" applyNumberFormat="1" applyFill="1" applyBorder="1" applyAlignment="1">
      <alignment horizontal="center" vertical="center"/>
    </xf>
    <xf numFmtId="180" fontId="0" fillId="0" borderId="1" xfId="0" applyNumberFormat="1" applyFill="1" applyBorder="1" applyAlignment="1">
      <alignment horizontal="center" vertical="center"/>
    </xf>
    <xf numFmtId="181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182" fontId="0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14" fontId="0" fillId="3" borderId="7" xfId="0" applyNumberFormat="1" applyFont="1" applyFill="1" applyBorder="1" applyAlignment="1">
      <alignment horizontal="center" vertical="center"/>
    </xf>
    <xf numFmtId="182" fontId="0" fillId="3" borderId="8" xfId="0" applyNumberFormat="1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182" fontId="0" fillId="0" borderId="6" xfId="0" applyNumberFormat="1" applyFont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14" fontId="0" fillId="3" borderId="5" xfId="0" applyNumberFormat="1" applyFont="1" applyFill="1" applyBorder="1" applyAlignment="1">
      <alignment horizontal="center" vertical="center"/>
    </xf>
    <xf numFmtId="182" fontId="0" fillId="3" borderId="6" xfId="0" applyNumberFormat="1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4" fontId="0" fillId="0" borderId="9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Fill="1" applyBorder="1" applyAlignment="1">
      <alignment horizontal="center" vertical="center"/>
    </xf>
    <xf numFmtId="183" fontId="0" fillId="0" borderId="0" xfId="0" applyNumberFormat="1">
      <alignment vertical="center"/>
    </xf>
    <xf numFmtId="6" fontId="0" fillId="0" borderId="1" xfId="0" applyNumberFormat="1" applyBorder="1">
      <alignment vertical="center"/>
    </xf>
    <xf numFmtId="42" fontId="0" fillId="0" borderId="1" xfId="1" applyFont="1" applyBorder="1">
      <alignment vertical="center"/>
    </xf>
    <xf numFmtId="0" fontId="0" fillId="4" borderId="1" xfId="0" applyFill="1" applyBorder="1" applyAlignment="1">
      <alignment horizontal="center" vertical="center"/>
    </xf>
    <xf numFmtId="42" fontId="0" fillId="4" borderId="1" xfId="1" applyFont="1" applyFill="1" applyBorder="1">
      <alignment vertical="center"/>
    </xf>
    <xf numFmtId="0" fontId="0" fillId="0" borderId="0" xfId="0" applyAlignment="1">
      <alignment horizontal="right" vertical="center"/>
    </xf>
    <xf numFmtId="6" fontId="0" fillId="4" borderId="1" xfId="0" applyNumberFormat="1" applyFill="1" applyBorder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32" fontId="0" fillId="0" borderId="0" xfId="0" applyNumberForma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3">
    <dxf>
      <font>
        <b/>
        <i val="0"/>
        <color rgb="FF00B0F0"/>
      </font>
    </dxf>
    <dxf>
      <numFmt numFmtId="27" formatCode="yyyy/mm/dd\ h:mm"/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'기타작업-1'!$C$2</c:f>
          <c:strCache>
            <c:ptCount val="1"/>
            <c:pt idx="0">
              <c:v>월별 모의고사 평균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6"/>
          <c:order val="2"/>
          <c:tx>
            <c:strRef>
              <c:f>'기타작업-1'!$M$3</c:f>
              <c:strCache>
                <c:ptCount val="1"/>
                <c:pt idx="0">
                  <c:v>11월</c:v>
                </c:pt>
              </c:strCache>
            </c:strRef>
          </c:tx>
          <c:invertIfNegative val="0"/>
          <c:cat>
            <c:strRef>
              <c:f>'기타작업-1'!$B$4:$B$9</c:f>
              <c:strCache>
                <c:ptCount val="6"/>
                <c:pt idx="0">
                  <c:v>김경숙</c:v>
                </c:pt>
                <c:pt idx="1">
                  <c:v>양숙희</c:v>
                </c:pt>
                <c:pt idx="2">
                  <c:v>조민국</c:v>
                </c:pt>
                <c:pt idx="3">
                  <c:v>이상동</c:v>
                </c:pt>
                <c:pt idx="4">
                  <c:v>김하진</c:v>
                </c:pt>
                <c:pt idx="5">
                  <c:v>유민하</c:v>
                </c:pt>
              </c:strCache>
            </c:strRef>
          </c:cat>
          <c:val>
            <c:numRef>
              <c:f>'기타작업-1'!$M$4:$M$9</c:f>
              <c:numCache>
                <c:formatCode>General</c:formatCode>
                <c:ptCount val="6"/>
                <c:pt idx="0">
                  <c:v>98</c:v>
                </c:pt>
                <c:pt idx="1">
                  <c:v>96</c:v>
                </c:pt>
                <c:pt idx="2">
                  <c:v>80</c:v>
                </c:pt>
                <c:pt idx="3">
                  <c:v>95</c:v>
                </c:pt>
                <c:pt idx="4">
                  <c:v>84</c:v>
                </c:pt>
                <c:pt idx="5">
                  <c:v>82</c:v>
                </c:pt>
              </c:numCache>
            </c:numRef>
          </c:val>
        </c:ser>
        <c:ser>
          <c:idx val="7"/>
          <c:order val="3"/>
          <c:tx>
            <c:strRef>
              <c:f>'기타작업-1'!$N$3</c:f>
              <c:strCache>
                <c:ptCount val="1"/>
                <c:pt idx="0">
                  <c:v>12월</c:v>
                </c:pt>
              </c:strCache>
            </c:strRef>
          </c:tx>
          <c:invertIfNegative val="0"/>
          <c:cat>
            <c:strRef>
              <c:f>'기타작업-1'!$B$4:$B$9</c:f>
              <c:strCache>
                <c:ptCount val="6"/>
                <c:pt idx="0">
                  <c:v>김경숙</c:v>
                </c:pt>
                <c:pt idx="1">
                  <c:v>양숙희</c:v>
                </c:pt>
                <c:pt idx="2">
                  <c:v>조민국</c:v>
                </c:pt>
                <c:pt idx="3">
                  <c:v>이상동</c:v>
                </c:pt>
                <c:pt idx="4">
                  <c:v>김하진</c:v>
                </c:pt>
                <c:pt idx="5">
                  <c:v>유민하</c:v>
                </c:pt>
              </c:strCache>
            </c:strRef>
          </c:cat>
          <c:val>
            <c:numRef>
              <c:f>'기타작업-1'!$N$4:$N$9</c:f>
              <c:numCache>
                <c:formatCode>General</c:formatCode>
                <c:ptCount val="6"/>
                <c:pt idx="0">
                  <c:v>96</c:v>
                </c:pt>
                <c:pt idx="1">
                  <c:v>98</c:v>
                </c:pt>
                <c:pt idx="2">
                  <c:v>89</c:v>
                </c:pt>
                <c:pt idx="3">
                  <c:v>95</c:v>
                </c:pt>
                <c:pt idx="4">
                  <c:v>92</c:v>
                </c:pt>
                <c:pt idx="5">
                  <c:v>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28608"/>
        <c:axId val="89085056"/>
      </c:barChart>
      <c:lineChart>
        <c:grouping val="standard"/>
        <c:varyColors val="0"/>
        <c:ser>
          <c:idx val="4"/>
          <c:order val="0"/>
          <c:tx>
            <c:strRef>
              <c:f>'기타작업-1'!$K$3</c:f>
              <c:strCache>
                <c:ptCount val="1"/>
                <c:pt idx="0">
                  <c:v>9월</c:v>
                </c:pt>
              </c:strCache>
            </c:strRef>
          </c:tx>
          <c:dLbls>
            <c:dLbl>
              <c:idx val="3"/>
              <c:spPr>
                <a:gradFill rotWithShape="1">
                  <a:gsLst>
                    <a:gs pos="0">
                      <a:schemeClr val="accent3">
                        <a:tint val="50000"/>
                        <a:satMod val="300000"/>
                      </a:schemeClr>
                    </a:gs>
                    <a:gs pos="35000">
                      <a:schemeClr val="accent3">
                        <a:tint val="37000"/>
                        <a:satMod val="300000"/>
                      </a:schemeClr>
                    </a:gs>
                    <a:gs pos="100000">
                      <a:schemeClr val="accent3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3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"/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'기타작업-1'!$B$4:$B$9</c:f>
              <c:strCache>
                <c:ptCount val="6"/>
                <c:pt idx="0">
                  <c:v>김경숙</c:v>
                </c:pt>
                <c:pt idx="1">
                  <c:v>양숙희</c:v>
                </c:pt>
                <c:pt idx="2">
                  <c:v>조민국</c:v>
                </c:pt>
                <c:pt idx="3">
                  <c:v>이상동</c:v>
                </c:pt>
                <c:pt idx="4">
                  <c:v>김하진</c:v>
                </c:pt>
                <c:pt idx="5">
                  <c:v>유민하</c:v>
                </c:pt>
              </c:strCache>
            </c:strRef>
          </c:cat>
          <c:val>
            <c:numRef>
              <c:f>'기타작업-1'!$K$4:$K$9</c:f>
              <c:numCache>
                <c:formatCode>General</c:formatCode>
                <c:ptCount val="6"/>
                <c:pt idx="0">
                  <c:v>97</c:v>
                </c:pt>
                <c:pt idx="1">
                  <c:v>90</c:v>
                </c:pt>
                <c:pt idx="2">
                  <c:v>78</c:v>
                </c:pt>
                <c:pt idx="3">
                  <c:v>100</c:v>
                </c:pt>
                <c:pt idx="4">
                  <c:v>92</c:v>
                </c:pt>
                <c:pt idx="5">
                  <c:v>84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'기타작업-1'!$L$3</c:f>
              <c:strCache>
                <c:ptCount val="1"/>
                <c:pt idx="0">
                  <c:v>10월</c:v>
                </c:pt>
              </c:strCache>
            </c:strRef>
          </c:tx>
          <c:cat>
            <c:strRef>
              <c:f>'기타작업-1'!$B$4:$B$9</c:f>
              <c:strCache>
                <c:ptCount val="6"/>
                <c:pt idx="0">
                  <c:v>김경숙</c:v>
                </c:pt>
                <c:pt idx="1">
                  <c:v>양숙희</c:v>
                </c:pt>
                <c:pt idx="2">
                  <c:v>조민국</c:v>
                </c:pt>
                <c:pt idx="3">
                  <c:v>이상동</c:v>
                </c:pt>
                <c:pt idx="4">
                  <c:v>김하진</c:v>
                </c:pt>
                <c:pt idx="5">
                  <c:v>유민하</c:v>
                </c:pt>
              </c:strCache>
            </c:strRef>
          </c:cat>
          <c:val>
            <c:numRef>
              <c:f>'기타작업-1'!$L$4:$L$9</c:f>
              <c:numCache>
                <c:formatCode>General</c:formatCode>
                <c:ptCount val="6"/>
                <c:pt idx="0">
                  <c:v>99</c:v>
                </c:pt>
                <c:pt idx="1">
                  <c:v>95</c:v>
                </c:pt>
                <c:pt idx="2">
                  <c:v>88</c:v>
                </c:pt>
                <c:pt idx="3">
                  <c:v>89</c:v>
                </c:pt>
                <c:pt idx="4">
                  <c:v>75</c:v>
                </c:pt>
                <c:pt idx="5">
                  <c:v>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28608"/>
        <c:axId val="89085056"/>
      </c:lineChart>
      <c:catAx>
        <c:axId val="4462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9085056"/>
        <c:crosses val="autoZero"/>
        <c:auto val="1"/>
        <c:lblAlgn val="ctr"/>
        <c:lblOffset val="100"/>
        <c:noMultiLvlLbl val="0"/>
      </c:catAx>
      <c:valAx>
        <c:axId val="89085056"/>
        <c:scaling>
          <c:orientation val="minMax"/>
          <c:max val="100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8608"/>
        <c:crosses val="autoZero"/>
        <c:crossBetween val="between"/>
        <c:majorUnit val="1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[0]!감가상각액" textlink="">
      <xdr:nvSpPr>
        <xdr:cNvPr id="2" name="빗면 1"/>
        <xdr:cNvSpPr/>
      </xdr:nvSpPr>
      <xdr:spPr>
        <a:xfrm>
          <a:off x="4000500" y="209550"/>
          <a:ext cx="9429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감가상각액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11</xdr:col>
      <xdr:colOff>0</xdr:colOff>
      <xdr:row>30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76200</xdr:rowOff>
        </xdr:from>
        <xdr:to>
          <xdr:col>5</xdr:col>
          <xdr:colOff>1314450</xdr:colOff>
          <xdr:row>2</xdr:row>
          <xdr:rowOff>9525</xdr:rowOff>
        </xdr:to>
        <xdr:sp macro="" textlink="">
          <xdr:nvSpPr>
            <xdr:cNvPr id="8195" name="cmd예약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3215.618007638892" createdVersion="4" refreshedVersion="4" minRefreshableVersion="3" recordCount="30">
  <cacheSource type="worksheet">
    <worksheetSource ref="B2:H32" sheet="분석작업-1"/>
  </cacheSource>
  <cacheFields count="7">
    <cacheField name="성명" numFmtId="0">
      <sharedItems/>
    </cacheField>
    <cacheField name="행사내용" numFmtId="0">
      <sharedItems count="2">
        <s v="결혼식"/>
        <s v="돌잔치"/>
      </sharedItems>
    </cacheField>
    <cacheField name="인원" numFmtId="0">
      <sharedItems containsSemiMixedTypes="0" containsString="0" containsNumber="1" containsInteger="1" minValue="120" maxValue="597"/>
    </cacheField>
    <cacheField name="홀이름" numFmtId="0">
      <sharedItems/>
    </cacheField>
    <cacheField name="행사일" numFmtId="14">
      <sharedItems containsSemiMixedTypes="0" containsNonDate="0" containsDate="1" containsString="0" minDate="2017-12-09T00:00:00" maxDate="2018-06-27T00:00:00" count="26">
        <d v="2018-01-03T00:00:00"/>
        <d v="2018-04-05T00:00:00"/>
        <d v="2018-06-26T00:00:00"/>
        <d v="2018-05-03T00:00:00"/>
        <d v="2018-05-08T00:00:00"/>
        <d v="2018-03-25T00:00:00"/>
        <d v="2018-03-20T00:00:00"/>
        <d v="2018-02-19T00:00:00"/>
        <d v="2018-04-25T00:00:00"/>
        <d v="2018-02-09T00:00:00"/>
        <d v="2018-03-19T00:00:00"/>
        <d v="2018-02-05T00:00:00"/>
        <d v="2018-04-09T00:00:00"/>
        <d v="2018-06-10T00:00:00"/>
        <d v="2018-03-02T00:00:00"/>
        <d v="2018-04-20T00:00:00"/>
        <d v="2018-04-29T00:00:00"/>
        <d v="2017-12-09T00:00:00"/>
        <d v="2018-04-04T00:00:00"/>
        <d v="2018-01-30T00:00:00"/>
        <d v="2018-05-30T00:00:00"/>
        <d v="2018-02-20T00:00:00"/>
        <d v="2018-03-15T00:00:00"/>
        <d v="2018-05-26T00:00:00"/>
        <d v="2018-03-11T00:00:00"/>
        <d v="2018-02-06T00:00:00"/>
      </sharedItems>
      <fieldGroup base="4">
        <rangePr groupBy="months" startDate="2017-12-09T00:00:00" endDate="2018-06-27T00:00:00"/>
        <groupItems count="14">
          <s v="&lt;2017-12-09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8-06-27"/>
        </groupItems>
      </fieldGroup>
    </cacheField>
    <cacheField name="작업일" numFmtId="0">
      <sharedItems/>
    </cacheField>
    <cacheField name="비고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김경지"/>
    <x v="0"/>
    <n v="215"/>
    <s v="Diamond Hall "/>
    <x v="0"/>
    <s v=""/>
    <s v=""/>
  </r>
  <r>
    <s v="김기완"/>
    <x v="1"/>
    <n v="230"/>
    <s v="Crystal Hall"/>
    <x v="1"/>
    <s v="043"/>
    <s v="63일 남음"/>
  </r>
  <r>
    <s v="김봉선"/>
    <x v="0"/>
    <n v="271"/>
    <s v="Diamond Hall "/>
    <x v="2"/>
    <s v="099"/>
    <s v="145일 남음"/>
  </r>
  <r>
    <s v="김상중"/>
    <x v="1"/>
    <n v="523"/>
    <s v="Ruby Hall "/>
    <x v="3"/>
    <s v="063"/>
    <s v="91일 남음"/>
  </r>
  <r>
    <s v="김원성"/>
    <x v="0"/>
    <n v="394"/>
    <s v="Ruby Hall "/>
    <x v="4"/>
    <s v="066"/>
    <s v="96일 남음"/>
  </r>
  <r>
    <s v="김윤남"/>
    <x v="0"/>
    <n v="481"/>
    <s v="Emerald Hall "/>
    <x v="5"/>
    <s v="034"/>
    <s v="52일 남음"/>
  </r>
  <r>
    <s v="김윤희"/>
    <x v="1"/>
    <n v="294"/>
    <s v="Crystal Hall"/>
    <x v="6"/>
    <s v="031"/>
    <s v="47일 남음"/>
  </r>
  <r>
    <s v="김은희"/>
    <x v="0"/>
    <n v="360"/>
    <s v="Ruby Hall "/>
    <x v="7"/>
    <s v="011"/>
    <s v="18일 남음"/>
  </r>
  <r>
    <s v="김호야"/>
    <x v="0"/>
    <n v="214"/>
    <s v="Diamond Hall "/>
    <x v="8"/>
    <s v="057"/>
    <s v="83일 남음"/>
  </r>
  <r>
    <s v="성정아"/>
    <x v="1"/>
    <n v="390"/>
    <s v="Diamond Hall "/>
    <x v="9"/>
    <s v="007"/>
    <s v="8일 남음"/>
  </r>
  <r>
    <s v="안산진"/>
    <x v="1"/>
    <n v="350"/>
    <s v="Diamond Hall "/>
    <x v="3"/>
    <s v="063"/>
    <s v="91일 남음"/>
  </r>
  <r>
    <s v="안혜정"/>
    <x v="1"/>
    <n v="458"/>
    <s v="Ruby Hall "/>
    <x v="10"/>
    <s v="030"/>
    <s v="46일 남음"/>
  </r>
  <r>
    <s v="양미진"/>
    <x v="1"/>
    <n v="452"/>
    <s v="Ruby Hall "/>
    <x v="11"/>
    <s v="003"/>
    <s v="4일 남음"/>
  </r>
  <r>
    <s v="양숙경"/>
    <x v="0"/>
    <n v="540"/>
    <s v="Emerald Hall "/>
    <x v="12"/>
    <s v="045"/>
    <s v="67일 남음"/>
  </r>
  <r>
    <s v="양용진"/>
    <x v="0"/>
    <n v="251"/>
    <s v="Diamond Hall "/>
    <x v="13"/>
    <s v="087"/>
    <s v="129일 남음"/>
  </r>
  <r>
    <s v="유인하"/>
    <x v="0"/>
    <n v="210"/>
    <s v="Diamond Hall "/>
    <x v="14"/>
    <s v="019"/>
    <s v="29일 남음"/>
  </r>
  <r>
    <s v="윤미화"/>
    <x v="0"/>
    <n v="352"/>
    <s v="Ruby Hall "/>
    <x v="15"/>
    <s v="054"/>
    <s v="78일 남음"/>
  </r>
  <r>
    <s v="윤석현"/>
    <x v="1"/>
    <n v="254"/>
    <s v="Crystal Hall"/>
    <x v="16"/>
    <s v="059"/>
    <s v="87일 남음"/>
  </r>
  <r>
    <s v="이기봉"/>
    <x v="1"/>
    <n v="120"/>
    <s v="Crystal Hall"/>
    <x v="17"/>
    <s v=""/>
    <s v=""/>
  </r>
  <r>
    <s v="이미영"/>
    <x v="1"/>
    <n v="394"/>
    <s v="Diamond Hall "/>
    <x v="13"/>
    <s v="087"/>
    <s v="129일 남음"/>
  </r>
  <r>
    <s v="이석호"/>
    <x v="0"/>
    <n v="150"/>
    <s v="Diamond Hall "/>
    <x v="18"/>
    <s v="042"/>
    <s v="62일 남음"/>
  </r>
  <r>
    <s v="이남동"/>
    <x v="0"/>
    <n v="597"/>
    <s v="Emerald Hall "/>
    <x v="19"/>
    <s v=""/>
    <s v=""/>
  </r>
  <r>
    <s v="이솔비"/>
    <x v="0"/>
    <n v="251"/>
    <s v="Diamond Hall "/>
    <x v="20"/>
    <s v="081"/>
    <s v="118일 남음"/>
  </r>
  <r>
    <s v="이신호"/>
    <x v="1"/>
    <n v="153"/>
    <s v="Crystal Hall"/>
    <x v="21"/>
    <s v="012"/>
    <s v="19일 남음"/>
  </r>
  <r>
    <s v="이연경"/>
    <x v="0"/>
    <n v="321"/>
    <s v="Ruby Hall "/>
    <x v="22"/>
    <s v="028"/>
    <s v="42일 남음"/>
  </r>
  <r>
    <s v="조신정"/>
    <x v="0"/>
    <n v="387"/>
    <s v="Ruby Hall "/>
    <x v="23"/>
    <s v="078"/>
    <s v="114일 남음"/>
  </r>
  <r>
    <s v="최동국"/>
    <x v="1"/>
    <n v="398"/>
    <s v="Diamond Hall "/>
    <x v="23"/>
    <s v="078"/>
    <s v="114일 남음"/>
  </r>
  <r>
    <s v="최동민"/>
    <x v="0"/>
    <n v="359"/>
    <s v="Ruby Hall "/>
    <x v="24"/>
    <s v="024"/>
    <s v="38일 남음"/>
  </r>
  <r>
    <s v="최익현"/>
    <x v="1"/>
    <n v="412"/>
    <s v="Ruby Hall "/>
    <x v="25"/>
    <s v="004"/>
    <s v="5일 남음"/>
  </r>
  <r>
    <s v="홍인식"/>
    <x v="0"/>
    <n v="480"/>
    <s v="Emerald Hall "/>
    <x v="14"/>
    <s v="019"/>
    <s v="29일 남음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2" applyNumberFormats="0" applyBorderFormats="0" applyFontFormats="0" applyPatternFormats="0" applyAlignmentFormats="0" applyWidthHeightFormats="1" dataCaption="값" updatedVersion="4" minRefreshableVersion="3" useAutoFormatting="1" rowGrandTotals="0" itemPrintTitles="1" createdVersion="4" indent="0" compact="0" outline="1" outlineData="1" compactData="0" multipleFieldFilters="0">
  <location ref="J2:M10" firstHeaderRow="1" firstDataRow="2" firstDataCol="1"/>
  <pivotFields count="7">
    <pivotField compact="0" showAll="0"/>
    <pivotField axis="axisCol" compact="0" showAll="0">
      <items count="3">
        <item x="0"/>
        <item x="1"/>
        <item t="default"/>
      </items>
    </pivotField>
    <pivotField dataField="1" compact="0" showAll="0"/>
    <pivotField compact="0" showAll="0"/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</pivotFields>
  <rowFields count="1">
    <field x="4"/>
  </rowFields>
  <rowItems count="7">
    <i>
      <x v="1"/>
    </i>
    <i>
      <x v="2"/>
    </i>
    <i>
      <x v="3"/>
    </i>
    <i>
      <x v="4"/>
    </i>
    <i>
      <x v="5"/>
    </i>
    <i>
      <x v="6"/>
    </i>
    <i>
      <x v="12"/>
    </i>
  </rowItems>
  <colFields count="1">
    <field x="1"/>
  </colFields>
  <colItems count="3">
    <i>
      <x/>
    </i>
    <i>
      <x v="1"/>
    </i>
    <i t="grand">
      <x/>
    </i>
  </colItems>
  <dataFields count="1">
    <dataField name="평균 : 인원" fld="2" subtotal="average" baseField="4" baseItem="3" numFmtId="183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성명" tableColumnId="1"/>
      <queryTableField id="2" name="생년월일" tableColumnId="2"/>
      <queryTableField id="3" name="성별" tableColumnId="3"/>
      <queryTableField id="4" name="진료과목" tableColumnId="4"/>
      <queryTableField id="5" name="진료일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B2:F8" tableType="queryTable" totalsRowShown="0">
  <autoFilter ref="B2:F8"/>
  <tableColumns count="5">
    <tableColumn id="1" uniqueName="1" name="성명" queryTableFieldId="1"/>
    <tableColumn id="2" uniqueName="2" name="생년월일" queryTableFieldId="2" dataDxfId="2"/>
    <tableColumn id="3" uniqueName="3" name="성별" queryTableFieldId="3"/>
    <tableColumn id="4" uniqueName="4" name="진료과목" queryTableFieldId="4"/>
    <tableColumn id="5" uniqueName="5" name="진료일" queryTableFieldId="5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8"/>
  <sheetViews>
    <sheetView tabSelected="1" workbookViewId="0"/>
  </sheetViews>
  <sheetFormatPr defaultRowHeight="16.5" x14ac:dyDescent="0.3"/>
  <cols>
    <col min="2" max="2" width="7.5" bestFit="1" customWidth="1"/>
    <col min="3" max="3" width="15.5" bestFit="1" customWidth="1"/>
    <col min="4" max="4" width="7.5" bestFit="1" customWidth="1"/>
    <col min="5" max="5" width="11.25" bestFit="1" customWidth="1"/>
    <col min="6" max="6" width="15.5" bestFit="1" customWidth="1"/>
  </cols>
  <sheetData>
    <row r="2" spans="2:6" x14ac:dyDescent="0.3">
      <c r="B2" t="s">
        <v>70</v>
      </c>
      <c r="C2" t="s">
        <v>62</v>
      </c>
      <c r="D2" t="s">
        <v>68</v>
      </c>
      <c r="E2" t="s">
        <v>60</v>
      </c>
      <c r="F2" t="s">
        <v>64</v>
      </c>
    </row>
    <row r="3" spans="2:6" x14ac:dyDescent="0.3">
      <c r="B3" t="s">
        <v>114</v>
      </c>
      <c r="C3" s="16">
        <v>38679</v>
      </c>
      <c r="D3" t="s">
        <v>145</v>
      </c>
      <c r="E3" t="s">
        <v>79</v>
      </c>
      <c r="F3" s="16">
        <v>43179</v>
      </c>
    </row>
    <row r="4" spans="2:6" x14ac:dyDescent="0.3">
      <c r="B4" t="s">
        <v>106</v>
      </c>
      <c r="C4" s="16">
        <v>28352</v>
      </c>
      <c r="D4" t="s">
        <v>145</v>
      </c>
      <c r="E4" t="s">
        <v>79</v>
      </c>
      <c r="F4" s="16">
        <v>43140</v>
      </c>
    </row>
    <row r="5" spans="2:6" x14ac:dyDescent="0.3">
      <c r="B5" t="s">
        <v>85</v>
      </c>
      <c r="C5" s="16">
        <v>31386</v>
      </c>
      <c r="D5" t="s">
        <v>143</v>
      </c>
      <c r="E5" t="s">
        <v>77</v>
      </c>
      <c r="F5" s="16">
        <v>43179</v>
      </c>
    </row>
    <row r="6" spans="2:6" x14ac:dyDescent="0.3">
      <c r="B6" t="s">
        <v>89</v>
      </c>
      <c r="C6" s="16">
        <v>21282</v>
      </c>
      <c r="D6" t="s">
        <v>145</v>
      </c>
      <c r="E6" t="s">
        <v>77</v>
      </c>
      <c r="F6" s="16">
        <v>43173</v>
      </c>
    </row>
    <row r="7" spans="2:6" x14ac:dyDescent="0.3">
      <c r="B7" t="s">
        <v>104</v>
      </c>
      <c r="C7" s="16">
        <v>15912</v>
      </c>
      <c r="D7" t="s">
        <v>145</v>
      </c>
      <c r="E7" t="s">
        <v>77</v>
      </c>
      <c r="F7" s="16">
        <v>43171</v>
      </c>
    </row>
    <row r="8" spans="2:6" x14ac:dyDescent="0.3">
      <c r="B8" t="s">
        <v>109</v>
      </c>
      <c r="C8" s="16">
        <v>26819</v>
      </c>
      <c r="D8" t="s">
        <v>145</v>
      </c>
      <c r="E8" t="s">
        <v>77</v>
      </c>
      <c r="F8" s="16">
        <v>43134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39"/>
  <sheetViews>
    <sheetView workbookViewId="0"/>
  </sheetViews>
  <sheetFormatPr defaultRowHeight="18.75" customHeight="1" x14ac:dyDescent="0.3"/>
  <cols>
    <col min="1" max="1" width="5.25" customWidth="1"/>
    <col min="2" max="9" width="12.875" customWidth="1"/>
  </cols>
  <sheetData>
    <row r="2" spans="2:9" ht="18.75" customHeight="1" x14ac:dyDescent="0.3">
      <c r="B2" t="s">
        <v>67</v>
      </c>
    </row>
    <row r="3" spans="2:9" ht="18.75" customHeight="1" thickBot="1" x14ac:dyDescent="0.35">
      <c r="B3" s="18" t="s">
        <v>156</v>
      </c>
      <c r="C3" s="18" t="s">
        <v>71</v>
      </c>
      <c r="D3" s="18" t="s">
        <v>63</v>
      </c>
      <c r="E3" s="18" t="s">
        <v>69</v>
      </c>
      <c r="F3" s="18" t="s">
        <v>61</v>
      </c>
      <c r="G3" s="18" t="s">
        <v>82</v>
      </c>
      <c r="H3" s="18" t="s">
        <v>65</v>
      </c>
      <c r="I3" s="44" t="s">
        <v>66</v>
      </c>
    </row>
    <row r="4" spans="2:9" ht="18.75" customHeight="1" x14ac:dyDescent="0.3">
      <c r="B4" s="19" t="s">
        <v>116</v>
      </c>
      <c r="C4" s="19" t="s">
        <v>83</v>
      </c>
      <c r="D4" s="20">
        <v>31900</v>
      </c>
      <c r="E4" s="19" t="s">
        <v>144</v>
      </c>
      <c r="F4" s="19" t="s">
        <v>72</v>
      </c>
      <c r="G4" s="19" t="s">
        <v>95</v>
      </c>
      <c r="H4" s="20">
        <v>43105</v>
      </c>
      <c r="I4" s="21">
        <v>0.38194444444444442</v>
      </c>
    </row>
    <row r="5" spans="2:9" ht="18.75" customHeight="1" x14ac:dyDescent="0.3">
      <c r="B5" s="22" t="s">
        <v>120</v>
      </c>
      <c r="C5" s="22" t="s">
        <v>84</v>
      </c>
      <c r="D5" s="23">
        <v>32234</v>
      </c>
      <c r="E5" s="22" t="s">
        <v>146</v>
      </c>
      <c r="F5" s="22" t="s">
        <v>81</v>
      </c>
      <c r="G5" s="22" t="s">
        <v>99</v>
      </c>
      <c r="H5" s="23">
        <v>43139</v>
      </c>
      <c r="I5" s="24">
        <v>0.54166666666666663</v>
      </c>
    </row>
    <row r="6" spans="2:9" ht="18.75" customHeight="1" x14ac:dyDescent="0.3">
      <c r="B6" s="25" t="s">
        <v>119</v>
      </c>
      <c r="C6" s="25" t="s">
        <v>85</v>
      </c>
      <c r="D6" s="26">
        <v>31386</v>
      </c>
      <c r="E6" s="25" t="s">
        <v>144</v>
      </c>
      <c r="F6" s="25" t="s">
        <v>78</v>
      </c>
      <c r="G6" s="25" t="s">
        <v>101</v>
      </c>
      <c r="H6" s="26">
        <v>43179</v>
      </c>
      <c r="I6" s="27">
        <v>0.43055555555555558</v>
      </c>
    </row>
    <row r="7" spans="2:9" ht="18.75" customHeight="1" x14ac:dyDescent="0.3">
      <c r="B7" s="22" t="s">
        <v>131</v>
      </c>
      <c r="C7" s="22" t="s">
        <v>86</v>
      </c>
      <c r="D7" s="23">
        <v>27520</v>
      </c>
      <c r="E7" s="22" t="s">
        <v>147</v>
      </c>
      <c r="F7" s="22" t="s">
        <v>73</v>
      </c>
      <c r="G7" s="22" t="s">
        <v>96</v>
      </c>
      <c r="H7" s="23">
        <v>43153</v>
      </c>
      <c r="I7" s="24">
        <v>0.57638888888888895</v>
      </c>
    </row>
    <row r="8" spans="2:9" ht="18.75" customHeight="1" x14ac:dyDescent="0.3">
      <c r="B8" s="25" t="s">
        <v>121</v>
      </c>
      <c r="C8" s="25" t="s">
        <v>87</v>
      </c>
      <c r="D8" s="26">
        <v>38114</v>
      </c>
      <c r="E8" s="25" t="s">
        <v>146</v>
      </c>
      <c r="F8" s="25" t="s">
        <v>81</v>
      </c>
      <c r="G8" s="25" t="s">
        <v>99</v>
      </c>
      <c r="H8" s="26">
        <v>43112</v>
      </c>
      <c r="I8" s="27">
        <v>0.43055555555555558</v>
      </c>
    </row>
    <row r="9" spans="2:9" ht="18.75" customHeight="1" x14ac:dyDescent="0.3">
      <c r="B9" s="22" t="s">
        <v>138</v>
      </c>
      <c r="C9" s="22" t="s">
        <v>88</v>
      </c>
      <c r="D9" s="23">
        <v>27522</v>
      </c>
      <c r="E9" s="22" t="s">
        <v>146</v>
      </c>
      <c r="F9" s="22" t="s">
        <v>74</v>
      </c>
      <c r="G9" s="22" t="s">
        <v>100</v>
      </c>
      <c r="H9" s="23">
        <v>43202</v>
      </c>
      <c r="I9" s="24">
        <v>0.72916666666666663</v>
      </c>
    </row>
    <row r="10" spans="2:9" ht="18.75" customHeight="1" x14ac:dyDescent="0.3">
      <c r="B10" s="25" t="s">
        <v>126</v>
      </c>
      <c r="C10" s="25" t="s">
        <v>89</v>
      </c>
      <c r="D10" s="26">
        <v>21282</v>
      </c>
      <c r="E10" s="25" t="s">
        <v>147</v>
      </c>
      <c r="F10" s="25" t="s">
        <v>78</v>
      </c>
      <c r="G10" s="25" t="s">
        <v>101</v>
      </c>
      <c r="H10" s="26">
        <v>43173</v>
      </c>
      <c r="I10" s="27">
        <v>0.47916666666666669</v>
      </c>
    </row>
    <row r="11" spans="2:9" ht="18.75" customHeight="1" x14ac:dyDescent="0.3">
      <c r="B11" s="22" t="s">
        <v>127</v>
      </c>
      <c r="C11" s="22" t="s">
        <v>90</v>
      </c>
      <c r="D11" s="23">
        <v>29313</v>
      </c>
      <c r="E11" s="22" t="s">
        <v>148</v>
      </c>
      <c r="F11" s="22" t="s">
        <v>81</v>
      </c>
      <c r="G11" s="22" t="s">
        <v>99</v>
      </c>
      <c r="H11" s="23">
        <v>43158</v>
      </c>
      <c r="I11" s="24">
        <v>0.5625</v>
      </c>
    </row>
    <row r="12" spans="2:9" ht="18.75" customHeight="1" x14ac:dyDescent="0.3">
      <c r="B12" s="25" t="s">
        <v>137</v>
      </c>
      <c r="C12" s="25" t="s">
        <v>91</v>
      </c>
      <c r="D12" s="26">
        <v>36833</v>
      </c>
      <c r="E12" s="25" t="s">
        <v>147</v>
      </c>
      <c r="F12" s="25" t="s">
        <v>78</v>
      </c>
      <c r="G12" s="25" t="s">
        <v>101</v>
      </c>
      <c r="H12" s="26">
        <v>43091</v>
      </c>
      <c r="I12" s="27">
        <v>0.63888888888888895</v>
      </c>
    </row>
    <row r="13" spans="2:9" ht="18.75" customHeight="1" x14ac:dyDescent="0.3">
      <c r="B13" s="22" t="s">
        <v>134</v>
      </c>
      <c r="C13" s="22" t="s">
        <v>92</v>
      </c>
      <c r="D13" s="23">
        <v>34833</v>
      </c>
      <c r="E13" s="22" t="s">
        <v>147</v>
      </c>
      <c r="F13" s="22" t="s">
        <v>80</v>
      </c>
      <c r="G13" s="22" t="s">
        <v>102</v>
      </c>
      <c r="H13" s="23">
        <v>43115</v>
      </c>
      <c r="I13" s="24">
        <v>0.47222222222222227</v>
      </c>
    </row>
    <row r="14" spans="2:9" ht="18.75" customHeight="1" x14ac:dyDescent="0.3">
      <c r="B14" s="25" t="s">
        <v>139</v>
      </c>
      <c r="C14" s="25" t="s">
        <v>93</v>
      </c>
      <c r="D14" s="26">
        <v>17811</v>
      </c>
      <c r="E14" s="25" t="s">
        <v>144</v>
      </c>
      <c r="F14" s="25" t="s">
        <v>74</v>
      </c>
      <c r="G14" s="25" t="s">
        <v>100</v>
      </c>
      <c r="H14" s="26">
        <v>43241</v>
      </c>
      <c r="I14" s="27">
        <v>0.39583333333333331</v>
      </c>
    </row>
    <row r="15" spans="2:9" ht="18.75" customHeight="1" x14ac:dyDescent="0.3">
      <c r="B15" s="22" t="s">
        <v>130</v>
      </c>
      <c r="C15" s="22" t="s">
        <v>94</v>
      </c>
      <c r="D15" s="23">
        <v>34607</v>
      </c>
      <c r="E15" s="22" t="s">
        <v>144</v>
      </c>
      <c r="F15" s="22" t="s">
        <v>72</v>
      </c>
      <c r="G15" s="22" t="s">
        <v>95</v>
      </c>
      <c r="H15" s="23">
        <v>43097</v>
      </c>
      <c r="I15" s="24">
        <v>0.49305555555555558</v>
      </c>
    </row>
    <row r="16" spans="2:9" ht="18.75" customHeight="1" x14ac:dyDescent="0.3">
      <c r="B16" s="25" t="s">
        <v>136</v>
      </c>
      <c r="C16" s="25" t="s">
        <v>107</v>
      </c>
      <c r="D16" s="26">
        <v>19541</v>
      </c>
      <c r="E16" s="25" t="s">
        <v>147</v>
      </c>
      <c r="F16" s="25" t="s">
        <v>75</v>
      </c>
      <c r="G16" s="25" t="s">
        <v>97</v>
      </c>
      <c r="H16" s="26">
        <v>43110</v>
      </c>
      <c r="I16" s="27">
        <v>0.41666666666666669</v>
      </c>
    </row>
    <row r="17" spans="2:9" ht="18.75" customHeight="1" x14ac:dyDescent="0.3">
      <c r="B17" s="22" t="s">
        <v>140</v>
      </c>
      <c r="C17" s="22" t="s">
        <v>153</v>
      </c>
      <c r="D17" s="23">
        <v>36962</v>
      </c>
      <c r="E17" s="22" t="s">
        <v>154</v>
      </c>
      <c r="F17" s="22" t="s">
        <v>76</v>
      </c>
      <c r="G17" s="22" t="s">
        <v>98</v>
      </c>
      <c r="H17" s="23">
        <v>43072</v>
      </c>
      <c r="I17" s="24">
        <v>0.58333333333333337</v>
      </c>
    </row>
    <row r="18" spans="2:9" ht="18.75" customHeight="1" x14ac:dyDescent="0.3">
      <c r="B18" s="25" t="s">
        <v>132</v>
      </c>
      <c r="C18" s="25" t="s">
        <v>108</v>
      </c>
      <c r="D18" s="26">
        <v>32267</v>
      </c>
      <c r="E18" s="25" t="s">
        <v>144</v>
      </c>
      <c r="F18" s="25" t="s">
        <v>81</v>
      </c>
      <c r="G18" s="25" t="s">
        <v>99</v>
      </c>
      <c r="H18" s="26">
        <v>43179</v>
      </c>
      <c r="I18" s="27">
        <v>0.45833333333333331</v>
      </c>
    </row>
    <row r="19" spans="2:9" ht="18.75" customHeight="1" x14ac:dyDescent="0.3">
      <c r="B19" s="22" t="s">
        <v>115</v>
      </c>
      <c r="C19" s="22" t="s">
        <v>109</v>
      </c>
      <c r="D19" s="23">
        <v>26819</v>
      </c>
      <c r="E19" s="22" t="s">
        <v>147</v>
      </c>
      <c r="F19" s="22" t="s">
        <v>78</v>
      </c>
      <c r="G19" s="22" t="s">
        <v>101</v>
      </c>
      <c r="H19" s="23">
        <v>43134</v>
      </c>
      <c r="I19" s="24">
        <v>0.41666666666666669</v>
      </c>
    </row>
    <row r="20" spans="2:9" ht="18.75" customHeight="1" x14ac:dyDescent="0.3">
      <c r="B20" s="25" t="s">
        <v>133</v>
      </c>
      <c r="C20" s="25" t="s">
        <v>110</v>
      </c>
      <c r="D20" s="26">
        <v>34097</v>
      </c>
      <c r="E20" s="25" t="s">
        <v>144</v>
      </c>
      <c r="F20" s="25" t="s">
        <v>76</v>
      </c>
      <c r="G20" s="25" t="s">
        <v>98</v>
      </c>
      <c r="H20" s="26">
        <v>43139</v>
      </c>
      <c r="I20" s="27">
        <v>0.39583333333333331</v>
      </c>
    </row>
    <row r="21" spans="2:9" ht="18.75" customHeight="1" x14ac:dyDescent="0.3">
      <c r="B21" s="22" t="s">
        <v>122</v>
      </c>
      <c r="C21" s="22" t="s">
        <v>150</v>
      </c>
      <c r="D21" s="23">
        <v>37020</v>
      </c>
      <c r="E21" s="22" t="s">
        <v>144</v>
      </c>
      <c r="F21" s="22" t="s">
        <v>75</v>
      </c>
      <c r="G21" s="22" t="s">
        <v>97</v>
      </c>
      <c r="H21" s="23">
        <v>43154</v>
      </c>
      <c r="I21" s="24">
        <v>0.47222222222222227</v>
      </c>
    </row>
    <row r="22" spans="2:9" ht="18.75" customHeight="1" x14ac:dyDescent="0.3">
      <c r="B22" s="25" t="s">
        <v>135</v>
      </c>
      <c r="C22" s="25" t="s">
        <v>111</v>
      </c>
      <c r="D22" s="26">
        <v>28589</v>
      </c>
      <c r="E22" s="25" t="s">
        <v>147</v>
      </c>
      <c r="F22" s="25" t="s">
        <v>72</v>
      </c>
      <c r="G22" s="25" t="s">
        <v>95</v>
      </c>
      <c r="H22" s="26">
        <v>43083</v>
      </c>
      <c r="I22" s="27">
        <v>0.6875</v>
      </c>
    </row>
    <row r="23" spans="2:9" ht="18.75" customHeight="1" x14ac:dyDescent="0.3">
      <c r="B23" s="22" t="s">
        <v>118</v>
      </c>
      <c r="C23" s="22" t="s">
        <v>151</v>
      </c>
      <c r="D23" s="23">
        <v>21801</v>
      </c>
      <c r="E23" s="22" t="s">
        <v>148</v>
      </c>
      <c r="F23" s="22" t="s">
        <v>73</v>
      </c>
      <c r="G23" s="22" t="s">
        <v>96</v>
      </c>
      <c r="H23" s="23">
        <v>43116</v>
      </c>
      <c r="I23" s="24">
        <v>0.74305555555555547</v>
      </c>
    </row>
    <row r="24" spans="2:9" ht="18.75" customHeight="1" x14ac:dyDescent="0.3">
      <c r="B24" s="25" t="s">
        <v>128</v>
      </c>
      <c r="C24" s="25" t="s">
        <v>152</v>
      </c>
      <c r="D24" s="26">
        <v>36042</v>
      </c>
      <c r="E24" s="25" t="s">
        <v>144</v>
      </c>
      <c r="F24" s="25" t="s">
        <v>76</v>
      </c>
      <c r="G24" s="25" t="s">
        <v>98</v>
      </c>
      <c r="H24" s="26">
        <v>43152</v>
      </c>
      <c r="I24" s="27">
        <v>0.68055555555555547</v>
      </c>
    </row>
    <row r="25" spans="2:9" ht="18.75" customHeight="1" x14ac:dyDescent="0.3">
      <c r="B25" s="22" t="s">
        <v>141</v>
      </c>
      <c r="C25" s="22" t="s">
        <v>112</v>
      </c>
      <c r="D25" s="23">
        <v>19036</v>
      </c>
      <c r="E25" s="22" t="s">
        <v>149</v>
      </c>
      <c r="F25" s="22" t="s">
        <v>73</v>
      </c>
      <c r="G25" s="22" t="s">
        <v>96</v>
      </c>
      <c r="H25" s="23">
        <v>43150</v>
      </c>
      <c r="I25" s="24">
        <v>0.58333333333333337</v>
      </c>
    </row>
    <row r="26" spans="2:9" ht="18.75" customHeight="1" x14ac:dyDescent="0.3">
      <c r="B26" s="25" t="s">
        <v>124</v>
      </c>
      <c r="C26" s="25" t="s">
        <v>113</v>
      </c>
      <c r="D26" s="26">
        <v>36388</v>
      </c>
      <c r="E26" s="25" t="s">
        <v>147</v>
      </c>
      <c r="F26" s="25" t="s">
        <v>74</v>
      </c>
      <c r="G26" s="25" t="s">
        <v>100</v>
      </c>
      <c r="H26" s="26">
        <v>43165</v>
      </c>
      <c r="I26" s="27">
        <v>0.57638888888888895</v>
      </c>
    </row>
    <row r="27" spans="2:9" ht="18.75" customHeight="1" x14ac:dyDescent="0.3">
      <c r="B27" s="22" t="s">
        <v>117</v>
      </c>
      <c r="C27" s="22" t="s">
        <v>114</v>
      </c>
      <c r="D27" s="23">
        <v>38679</v>
      </c>
      <c r="E27" s="22" t="s">
        <v>147</v>
      </c>
      <c r="F27" s="22" t="s">
        <v>80</v>
      </c>
      <c r="G27" s="22" t="s">
        <v>102</v>
      </c>
      <c r="H27" s="23">
        <v>43179</v>
      </c>
      <c r="I27" s="24">
        <v>0.59722222222222221</v>
      </c>
    </row>
    <row r="28" spans="2:9" ht="18.75" customHeight="1" x14ac:dyDescent="0.3">
      <c r="B28" s="25" t="s">
        <v>125</v>
      </c>
      <c r="C28" s="25" t="s">
        <v>103</v>
      </c>
      <c r="D28" s="26">
        <v>27266</v>
      </c>
      <c r="E28" s="25" t="s">
        <v>147</v>
      </c>
      <c r="F28" s="25" t="s">
        <v>75</v>
      </c>
      <c r="G28" s="25" t="s">
        <v>97</v>
      </c>
      <c r="H28" s="26">
        <v>43206</v>
      </c>
      <c r="I28" s="27">
        <v>0.68055555555555547</v>
      </c>
    </row>
    <row r="29" spans="2:9" ht="18.75" customHeight="1" x14ac:dyDescent="0.3">
      <c r="B29" s="22" t="s">
        <v>129</v>
      </c>
      <c r="C29" s="22" t="s">
        <v>104</v>
      </c>
      <c r="D29" s="23">
        <v>15912</v>
      </c>
      <c r="E29" s="22" t="s">
        <v>147</v>
      </c>
      <c r="F29" s="22" t="s">
        <v>78</v>
      </c>
      <c r="G29" s="22" t="s">
        <v>101</v>
      </c>
      <c r="H29" s="23">
        <v>43171</v>
      </c>
      <c r="I29" s="24">
        <v>0.625</v>
      </c>
    </row>
    <row r="30" spans="2:9" ht="18.75" customHeight="1" x14ac:dyDescent="0.3">
      <c r="B30" s="25" t="s">
        <v>123</v>
      </c>
      <c r="C30" s="25" t="s">
        <v>105</v>
      </c>
      <c r="D30" s="26">
        <v>31758</v>
      </c>
      <c r="E30" s="25" t="s">
        <v>148</v>
      </c>
      <c r="F30" s="25" t="s">
        <v>76</v>
      </c>
      <c r="G30" s="25" t="s">
        <v>98</v>
      </c>
      <c r="H30" s="26">
        <v>43159</v>
      </c>
      <c r="I30" s="27">
        <v>0.66666666666666663</v>
      </c>
    </row>
    <row r="31" spans="2:9" ht="18.75" customHeight="1" x14ac:dyDescent="0.3">
      <c r="B31" s="28" t="s">
        <v>142</v>
      </c>
      <c r="C31" s="28" t="s">
        <v>106</v>
      </c>
      <c r="D31" s="29">
        <v>28352</v>
      </c>
      <c r="E31" s="28" t="s">
        <v>147</v>
      </c>
      <c r="F31" s="28" t="s">
        <v>157</v>
      </c>
      <c r="G31" s="28" t="s">
        <v>102</v>
      </c>
      <c r="H31" s="29">
        <v>43140</v>
      </c>
      <c r="I31" s="17">
        <v>0.44444444444444442</v>
      </c>
    </row>
    <row r="33" spans="2:7" ht="18.75" customHeight="1" x14ac:dyDescent="0.3">
      <c r="B33" t="s">
        <v>155</v>
      </c>
      <c r="D33" t="s">
        <v>300</v>
      </c>
      <c r="E33" t="s">
        <v>301</v>
      </c>
      <c r="F33" t="s">
        <v>302</v>
      </c>
      <c r="G33" t="s">
        <v>303</v>
      </c>
    </row>
    <row r="34" spans="2:7" ht="18.75" customHeight="1" x14ac:dyDescent="0.3">
      <c r="B34" t="b">
        <f>AND(YEAR(D4)&gt;=1987,I4&gt;=0.5)</f>
        <v>0</v>
      </c>
      <c r="D34" s="22" t="s">
        <v>84</v>
      </c>
      <c r="E34" s="23">
        <v>32234</v>
      </c>
      <c r="F34" s="22" t="s">
        <v>81</v>
      </c>
      <c r="G34" s="24">
        <v>0.54166666666666663</v>
      </c>
    </row>
    <row r="35" spans="2:7" ht="18.75" customHeight="1" x14ac:dyDescent="0.3">
      <c r="D35" s="25" t="s">
        <v>91</v>
      </c>
      <c r="E35" s="26">
        <v>36833</v>
      </c>
      <c r="F35" s="25" t="s">
        <v>78</v>
      </c>
      <c r="G35" s="27">
        <v>0.63888888888888895</v>
      </c>
    </row>
    <row r="36" spans="2:7" ht="18.75" customHeight="1" x14ac:dyDescent="0.3">
      <c r="D36" s="22" t="s">
        <v>153</v>
      </c>
      <c r="E36" s="23">
        <v>36962</v>
      </c>
      <c r="F36" s="22" t="s">
        <v>76</v>
      </c>
      <c r="G36" s="24">
        <v>0.58333333333333337</v>
      </c>
    </row>
    <row r="37" spans="2:7" ht="18.75" customHeight="1" x14ac:dyDescent="0.3">
      <c r="D37" s="25" t="s">
        <v>152</v>
      </c>
      <c r="E37" s="26">
        <v>36042</v>
      </c>
      <c r="F37" s="25" t="s">
        <v>76</v>
      </c>
      <c r="G37" s="27">
        <v>0.68055555555555547</v>
      </c>
    </row>
    <row r="38" spans="2:7" ht="18.75" customHeight="1" x14ac:dyDescent="0.3">
      <c r="D38" s="25" t="s">
        <v>113</v>
      </c>
      <c r="E38" s="26">
        <v>36388</v>
      </c>
      <c r="F38" s="25" t="s">
        <v>74</v>
      </c>
      <c r="G38" s="27">
        <v>0.57638888888888895</v>
      </c>
    </row>
    <row r="39" spans="2:7" ht="18.75" customHeight="1" x14ac:dyDescent="0.3">
      <c r="D39" s="22" t="s">
        <v>114</v>
      </c>
      <c r="E39" s="23">
        <v>38679</v>
      </c>
      <c r="F39" s="22" t="s">
        <v>80</v>
      </c>
      <c r="G39" s="24">
        <v>0.59722222222222221</v>
      </c>
    </row>
  </sheetData>
  <phoneticPr fontId="1" type="noConversion"/>
  <conditionalFormatting sqref="B4:I31">
    <cfRule type="expression" dxfId="0" priority="1">
      <formula>AND(RIGHT($B4,1)="1",LEN($F4)=4)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&amp;R&amp;P/&amp;N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34"/>
  <sheetViews>
    <sheetView workbookViewId="0"/>
  </sheetViews>
  <sheetFormatPr defaultRowHeight="16.5" x14ac:dyDescent="0.3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 x14ac:dyDescent="0.3">
      <c r="A2" t="s">
        <v>3</v>
      </c>
      <c r="F2" s="1" t="s">
        <v>8</v>
      </c>
      <c r="G2" s="13">
        <v>43132</v>
      </c>
      <c r="I2" t="s">
        <v>11</v>
      </c>
    </row>
    <row r="3" spans="1:12" x14ac:dyDescent="0.3">
      <c r="A3" s="6" t="s">
        <v>4</v>
      </c>
      <c r="B3" s="6" t="s">
        <v>5</v>
      </c>
      <c r="C3" s="6" t="s">
        <v>6</v>
      </c>
      <c r="D3" s="15" t="s">
        <v>19</v>
      </c>
      <c r="E3" s="6" t="s">
        <v>7</v>
      </c>
      <c r="F3" s="15" t="s">
        <v>158</v>
      </c>
      <c r="G3" s="15" t="s">
        <v>29</v>
      </c>
      <c r="I3" s="49"/>
      <c r="J3" s="8">
        <v>100</v>
      </c>
      <c r="K3" s="8">
        <v>300</v>
      </c>
      <c r="L3" s="8">
        <v>400</v>
      </c>
    </row>
    <row r="4" spans="1:12" x14ac:dyDescent="0.3">
      <c r="A4" s="6" t="s">
        <v>30</v>
      </c>
      <c r="B4" s="6" t="s">
        <v>9</v>
      </c>
      <c r="C4" s="3">
        <v>230</v>
      </c>
      <c r="D4" s="6" t="str">
        <f>PROPER(HLOOKUP(C4,$J$3:$L$6,MATCH(B4,$I$5:$I$6,0)+2))</f>
        <v>Crystal Hall</v>
      </c>
      <c r="E4" s="14">
        <v>43195</v>
      </c>
      <c r="F4" s="6" t="str">
        <f>IF(NETWORKDAYS($G$2,E4,$I$27:$I$32)&lt;0,"",TEXT(NETWORKDAYS($G$2,E4,$I$27:$I$32),"000"))</f>
        <v>043</v>
      </c>
      <c r="G4" s="6" t="str">
        <f t="shared" ref="G4:G33" si="0">fn비고($G$2,E4)</f>
        <v>63일 남음</v>
      </c>
      <c r="I4" s="50"/>
      <c r="J4" s="9">
        <v>300</v>
      </c>
      <c r="K4" s="9">
        <v>400</v>
      </c>
      <c r="L4" s="9">
        <v>600</v>
      </c>
    </row>
    <row r="5" spans="1:12" x14ac:dyDescent="0.3">
      <c r="A5" s="6" t="s">
        <v>31</v>
      </c>
      <c r="B5" s="6" t="s">
        <v>9</v>
      </c>
      <c r="C5" s="3">
        <v>390</v>
      </c>
      <c r="D5" s="43" t="str">
        <f t="shared" ref="D5:D33" si="1">PROPER(HLOOKUP(C5,$J$3:$L$6,MATCH(B5,$I$5:$I$6,0)+2))</f>
        <v xml:space="preserve">Diamond Hall </v>
      </c>
      <c r="E5" s="14">
        <v>43140</v>
      </c>
      <c r="F5" s="42" t="str">
        <f t="shared" ref="F5:F33" si="2">IF(NETWORKDAYS($G$2,E5,$I$27:$I$32)&lt;0,"",TEXT(NETWORKDAYS($G$2,E5,$I$27:$I$32),"000"))</f>
        <v>007</v>
      </c>
      <c r="G5" s="6" t="str">
        <f t="shared" si="0"/>
        <v>8일 남음</v>
      </c>
      <c r="I5" s="4" t="s">
        <v>9</v>
      </c>
      <c r="J5" s="4" t="s">
        <v>15</v>
      </c>
      <c r="K5" s="4" t="s">
        <v>12</v>
      </c>
      <c r="L5" s="4" t="s">
        <v>13</v>
      </c>
    </row>
    <row r="6" spans="1:12" x14ac:dyDescent="0.3">
      <c r="A6" s="6" t="s">
        <v>32</v>
      </c>
      <c r="B6" s="6" t="s">
        <v>9</v>
      </c>
      <c r="C6" s="3">
        <v>120</v>
      </c>
      <c r="D6" s="43" t="str">
        <f t="shared" si="1"/>
        <v>Crystal Hall</v>
      </c>
      <c r="E6" s="14">
        <v>43078</v>
      </c>
      <c r="F6" s="42" t="str">
        <f t="shared" si="2"/>
        <v/>
      </c>
      <c r="G6" s="6" t="str">
        <f t="shared" si="0"/>
        <v/>
      </c>
      <c r="I6" s="4" t="s">
        <v>10</v>
      </c>
      <c r="J6" s="4" t="s">
        <v>12</v>
      </c>
      <c r="K6" s="4" t="s">
        <v>13</v>
      </c>
      <c r="L6" s="4" t="s">
        <v>14</v>
      </c>
    </row>
    <row r="7" spans="1:12" x14ac:dyDescent="0.3">
      <c r="A7" s="6" t="s">
        <v>33</v>
      </c>
      <c r="B7" s="6" t="s">
        <v>9</v>
      </c>
      <c r="C7" s="3">
        <v>350</v>
      </c>
      <c r="D7" s="43" t="str">
        <f t="shared" si="1"/>
        <v xml:space="preserve">Diamond Hall </v>
      </c>
      <c r="E7" s="14">
        <v>43223</v>
      </c>
      <c r="F7" s="42" t="str">
        <f t="shared" si="2"/>
        <v>063</v>
      </c>
      <c r="G7" s="6" t="str">
        <f t="shared" si="0"/>
        <v>91일 남음</v>
      </c>
    </row>
    <row r="8" spans="1:12" x14ac:dyDescent="0.3">
      <c r="A8" s="6" t="s">
        <v>34</v>
      </c>
      <c r="B8" s="6" t="s">
        <v>10</v>
      </c>
      <c r="C8" s="3">
        <v>150</v>
      </c>
      <c r="D8" s="43" t="str">
        <f t="shared" si="1"/>
        <v xml:space="preserve">Diamond Hall </v>
      </c>
      <c r="E8" s="14">
        <v>43194</v>
      </c>
      <c r="F8" s="42" t="str">
        <f t="shared" si="2"/>
        <v>042</v>
      </c>
      <c r="G8" s="6" t="str">
        <f t="shared" si="0"/>
        <v>62일 남음</v>
      </c>
      <c r="I8" t="s">
        <v>159</v>
      </c>
    </row>
    <row r="9" spans="1:12" x14ac:dyDescent="0.3">
      <c r="A9" s="6" t="s">
        <v>35</v>
      </c>
      <c r="B9" s="6" t="s">
        <v>9</v>
      </c>
      <c r="C9" s="3">
        <v>452</v>
      </c>
      <c r="D9" s="43" t="str">
        <f t="shared" si="1"/>
        <v xml:space="preserve">Ruby Hall </v>
      </c>
      <c r="E9" s="14">
        <v>43136</v>
      </c>
      <c r="F9" s="42" t="str">
        <f t="shared" si="2"/>
        <v>003</v>
      </c>
      <c r="G9" s="6" t="str">
        <f t="shared" si="0"/>
        <v>4일 남음</v>
      </c>
      <c r="I9" s="51" t="s">
        <v>16</v>
      </c>
      <c r="J9" s="51"/>
      <c r="K9" s="15" t="s">
        <v>17</v>
      </c>
      <c r="L9" s="15" t="s">
        <v>18</v>
      </c>
    </row>
    <row r="10" spans="1:12" x14ac:dyDescent="0.3">
      <c r="A10" s="6" t="s">
        <v>36</v>
      </c>
      <c r="B10" s="6" t="s">
        <v>10</v>
      </c>
      <c r="C10" s="3">
        <v>210</v>
      </c>
      <c r="D10" s="43" t="str">
        <f t="shared" si="1"/>
        <v xml:space="preserve">Diamond Hall </v>
      </c>
      <c r="E10" s="14">
        <v>43161</v>
      </c>
      <c r="F10" s="42" t="str">
        <f t="shared" si="2"/>
        <v>019</v>
      </c>
      <c r="G10" s="6" t="str">
        <f t="shared" si="0"/>
        <v>29일 남음</v>
      </c>
      <c r="I10" s="7">
        <v>0</v>
      </c>
      <c r="J10" s="2">
        <v>200</v>
      </c>
      <c r="K10" s="3">
        <f t="array" ref="K10:K14">FREQUENCY(IF($B$4:$B$33=K$9,$C$4:$C$33),$J$10:$J$14)</f>
        <v>2</v>
      </c>
      <c r="L10" s="3">
        <f t="array" ref="L10:L14">FREQUENCY(IF($B$4:$B$33=L$9,$C$4:$C$33),$J$10:$J$14)</f>
        <v>1</v>
      </c>
    </row>
    <row r="11" spans="1:12" x14ac:dyDescent="0.3">
      <c r="A11" s="6" t="s">
        <v>37</v>
      </c>
      <c r="B11" s="6" t="s">
        <v>10</v>
      </c>
      <c r="C11" s="3">
        <v>215</v>
      </c>
      <c r="D11" s="43" t="str">
        <f t="shared" si="1"/>
        <v xml:space="preserve">Diamond Hall </v>
      </c>
      <c r="E11" s="14">
        <v>43103</v>
      </c>
      <c r="F11" s="42" t="str">
        <f t="shared" si="2"/>
        <v/>
      </c>
      <c r="G11" s="6" t="str">
        <f t="shared" si="0"/>
        <v/>
      </c>
      <c r="I11" s="7">
        <v>201</v>
      </c>
      <c r="J11" s="2">
        <v>300</v>
      </c>
      <c r="K11" s="3">
        <v>3</v>
      </c>
      <c r="L11" s="3">
        <v>6</v>
      </c>
    </row>
    <row r="12" spans="1:12" x14ac:dyDescent="0.3">
      <c r="A12" s="6" t="s">
        <v>38</v>
      </c>
      <c r="B12" s="6" t="s">
        <v>9</v>
      </c>
      <c r="C12" s="3">
        <v>153</v>
      </c>
      <c r="D12" s="43" t="str">
        <f t="shared" si="1"/>
        <v>Crystal Hall</v>
      </c>
      <c r="E12" s="14">
        <v>43151</v>
      </c>
      <c r="F12" s="42" t="str">
        <f t="shared" si="2"/>
        <v>012</v>
      </c>
      <c r="G12" s="6" t="str">
        <f t="shared" si="0"/>
        <v>19일 남음</v>
      </c>
      <c r="I12" s="7">
        <v>301</v>
      </c>
      <c r="J12" s="2">
        <v>400</v>
      </c>
      <c r="K12" s="3">
        <v>4</v>
      </c>
      <c r="L12" s="3">
        <v>6</v>
      </c>
    </row>
    <row r="13" spans="1:12" x14ac:dyDescent="0.3">
      <c r="A13" s="6" t="s">
        <v>39</v>
      </c>
      <c r="B13" s="6" t="s">
        <v>9</v>
      </c>
      <c r="C13" s="3">
        <v>412</v>
      </c>
      <c r="D13" s="43" t="str">
        <f t="shared" si="1"/>
        <v xml:space="preserve">Ruby Hall </v>
      </c>
      <c r="E13" s="14">
        <v>43137</v>
      </c>
      <c r="F13" s="42" t="str">
        <f t="shared" si="2"/>
        <v>004</v>
      </c>
      <c r="G13" s="6" t="str">
        <f t="shared" si="0"/>
        <v>5일 남음</v>
      </c>
      <c r="I13" s="7">
        <v>401</v>
      </c>
      <c r="J13" s="2">
        <v>500</v>
      </c>
      <c r="K13" s="3">
        <v>3</v>
      </c>
      <c r="L13" s="3">
        <v>2</v>
      </c>
    </row>
    <row r="14" spans="1:12" x14ac:dyDescent="0.3">
      <c r="A14" s="6" t="s">
        <v>40</v>
      </c>
      <c r="B14" s="6" t="s">
        <v>9</v>
      </c>
      <c r="C14" s="3">
        <v>523</v>
      </c>
      <c r="D14" s="43" t="str">
        <f t="shared" si="1"/>
        <v xml:space="preserve">Ruby Hall </v>
      </c>
      <c r="E14" s="14">
        <v>43223</v>
      </c>
      <c r="F14" s="42" t="str">
        <f t="shared" si="2"/>
        <v>063</v>
      </c>
      <c r="G14" s="6" t="str">
        <f t="shared" si="0"/>
        <v>91일 남음</v>
      </c>
      <c r="I14" s="7">
        <v>501</v>
      </c>
      <c r="J14" s="2">
        <v>600</v>
      </c>
      <c r="K14" s="3">
        <v>1</v>
      </c>
      <c r="L14" s="3">
        <v>2</v>
      </c>
    </row>
    <row r="15" spans="1:12" x14ac:dyDescent="0.3">
      <c r="A15" s="6" t="s">
        <v>41</v>
      </c>
      <c r="B15" s="6" t="s">
        <v>10</v>
      </c>
      <c r="C15" s="3">
        <v>352</v>
      </c>
      <c r="D15" s="43" t="str">
        <f t="shared" si="1"/>
        <v xml:space="preserve">Ruby Hall </v>
      </c>
      <c r="E15" s="14">
        <v>43210</v>
      </c>
      <c r="F15" s="42" t="str">
        <f t="shared" si="2"/>
        <v>054</v>
      </c>
      <c r="G15" s="6" t="str">
        <f t="shared" si="0"/>
        <v>78일 남음</v>
      </c>
    </row>
    <row r="16" spans="1:12" x14ac:dyDescent="0.3">
      <c r="A16" s="6" t="s">
        <v>42</v>
      </c>
      <c r="B16" s="6" t="s">
        <v>10</v>
      </c>
      <c r="C16" s="3">
        <v>321</v>
      </c>
      <c r="D16" s="43" t="str">
        <f t="shared" si="1"/>
        <v xml:space="preserve">Ruby Hall </v>
      </c>
      <c r="E16" s="14">
        <v>43174</v>
      </c>
      <c r="F16" s="42" t="str">
        <f t="shared" si="2"/>
        <v>028</v>
      </c>
      <c r="G16" s="6" t="str">
        <f t="shared" si="0"/>
        <v>42일 남음</v>
      </c>
      <c r="I16" t="s">
        <v>160</v>
      </c>
    </row>
    <row r="17" spans="1:10" x14ac:dyDescent="0.3">
      <c r="A17" s="6" t="s">
        <v>43</v>
      </c>
      <c r="B17" s="6" t="s">
        <v>10</v>
      </c>
      <c r="C17" s="3">
        <v>214</v>
      </c>
      <c r="D17" s="43" t="str">
        <f t="shared" si="1"/>
        <v xml:space="preserve">Diamond Hall </v>
      </c>
      <c r="E17" s="14">
        <v>43215</v>
      </c>
      <c r="F17" s="42" t="str">
        <f t="shared" si="2"/>
        <v>057</v>
      </c>
      <c r="G17" s="6" t="str">
        <f t="shared" si="0"/>
        <v>83일 남음</v>
      </c>
      <c r="I17" s="2" t="s">
        <v>20</v>
      </c>
      <c r="J17" s="15" t="s">
        <v>21</v>
      </c>
    </row>
    <row r="18" spans="1:10" x14ac:dyDescent="0.3">
      <c r="A18" s="6" t="s">
        <v>44</v>
      </c>
      <c r="B18" s="6" t="s">
        <v>10</v>
      </c>
      <c r="C18" s="3">
        <v>251</v>
      </c>
      <c r="D18" s="43" t="str">
        <f t="shared" si="1"/>
        <v xml:space="preserve">Diamond Hall </v>
      </c>
      <c r="E18" s="14">
        <v>43250</v>
      </c>
      <c r="F18" s="42" t="str">
        <f t="shared" si="2"/>
        <v>081</v>
      </c>
      <c r="G18" s="6" t="str">
        <f t="shared" si="0"/>
        <v>118일 남음</v>
      </c>
      <c r="I18" s="10">
        <v>1</v>
      </c>
      <c r="J18" s="3" t="str">
        <f t="array" ref="J18">REPT("♥",SUM(IF(MONTH($E$4:$E$33)=I18,1)))</f>
        <v>♥♥</v>
      </c>
    </row>
    <row r="19" spans="1:10" x14ac:dyDescent="0.3">
      <c r="A19" s="6" t="s">
        <v>45</v>
      </c>
      <c r="B19" s="6" t="s">
        <v>10</v>
      </c>
      <c r="C19" s="3">
        <v>360</v>
      </c>
      <c r="D19" s="43" t="str">
        <f t="shared" si="1"/>
        <v xml:space="preserve">Ruby Hall </v>
      </c>
      <c r="E19" s="14">
        <v>43150</v>
      </c>
      <c r="F19" s="42" t="str">
        <f t="shared" si="2"/>
        <v>011</v>
      </c>
      <c r="G19" s="6" t="str">
        <f t="shared" si="0"/>
        <v>18일 남음</v>
      </c>
      <c r="I19" s="10">
        <v>2</v>
      </c>
      <c r="J19" s="3" t="str">
        <f t="array" ref="J19">REPT("♥",SUM(IF(MONTH($E$4:$E$33)=I19,1)))</f>
        <v>♥♥♥♥♥</v>
      </c>
    </row>
    <row r="20" spans="1:10" x14ac:dyDescent="0.3">
      <c r="A20" s="6" t="s">
        <v>46</v>
      </c>
      <c r="B20" s="6" t="s">
        <v>9</v>
      </c>
      <c r="C20" s="3">
        <v>394</v>
      </c>
      <c r="D20" s="43" t="str">
        <f t="shared" si="1"/>
        <v xml:space="preserve">Diamond Hall </v>
      </c>
      <c r="E20" s="14">
        <v>43261</v>
      </c>
      <c r="F20" s="42" t="str">
        <f t="shared" si="2"/>
        <v>087</v>
      </c>
      <c r="G20" s="6" t="str">
        <f t="shared" si="0"/>
        <v>129일 남음</v>
      </c>
      <c r="I20" s="10">
        <v>3</v>
      </c>
      <c r="J20" s="3" t="str">
        <f t="array" ref="J20">REPT("♥",SUM(IF(MONTH($E$4:$E$33)=I20,1)))</f>
        <v>♥♥♥♥♥♥♥</v>
      </c>
    </row>
    <row r="21" spans="1:10" x14ac:dyDescent="0.3">
      <c r="A21" s="6" t="s">
        <v>47</v>
      </c>
      <c r="B21" s="6" t="s">
        <v>10</v>
      </c>
      <c r="C21" s="3">
        <v>387</v>
      </c>
      <c r="D21" s="43" t="str">
        <f t="shared" si="1"/>
        <v xml:space="preserve">Ruby Hall </v>
      </c>
      <c r="E21" s="14">
        <v>43246</v>
      </c>
      <c r="F21" s="42" t="str">
        <f t="shared" si="2"/>
        <v>078</v>
      </c>
      <c r="G21" s="6" t="str">
        <f t="shared" si="0"/>
        <v>114일 남음</v>
      </c>
      <c r="I21" s="10">
        <v>4</v>
      </c>
      <c r="J21" s="3" t="str">
        <f t="array" ref="J21">REPT("♥",SUM(IF(MONTH($E$4:$E$33)=I21,1)))</f>
        <v>♥♥♥♥♥♥</v>
      </c>
    </row>
    <row r="22" spans="1:10" x14ac:dyDescent="0.3">
      <c r="A22" s="6" t="s">
        <v>48</v>
      </c>
      <c r="B22" s="6" t="s">
        <v>9</v>
      </c>
      <c r="C22" s="3">
        <v>458</v>
      </c>
      <c r="D22" s="43" t="str">
        <f t="shared" si="1"/>
        <v xml:space="preserve">Ruby Hall </v>
      </c>
      <c r="E22" s="14">
        <v>43178</v>
      </c>
      <c r="F22" s="42" t="str">
        <f t="shared" si="2"/>
        <v>030</v>
      </c>
      <c r="G22" s="6" t="str">
        <f t="shared" si="0"/>
        <v>46일 남음</v>
      </c>
      <c r="I22" s="10">
        <v>5</v>
      </c>
      <c r="J22" s="3" t="str">
        <f t="array" ref="J22">REPT("♥",SUM(IF(MONTH($E$4:$E$33)=I22,1)))</f>
        <v>♥♥♥♥♥♥</v>
      </c>
    </row>
    <row r="23" spans="1:10" x14ac:dyDescent="0.3">
      <c r="A23" s="6" t="s">
        <v>49</v>
      </c>
      <c r="B23" s="6" t="s">
        <v>9</v>
      </c>
      <c r="C23" s="3">
        <v>294</v>
      </c>
      <c r="D23" s="43" t="str">
        <f t="shared" si="1"/>
        <v>Crystal Hall</v>
      </c>
      <c r="E23" s="14">
        <v>43179</v>
      </c>
      <c r="F23" s="42" t="str">
        <f t="shared" si="2"/>
        <v>031</v>
      </c>
      <c r="G23" s="6" t="str">
        <f t="shared" si="0"/>
        <v>47일 남음</v>
      </c>
      <c r="I23" s="10">
        <v>6</v>
      </c>
      <c r="J23" s="3" t="str">
        <f t="array" ref="J23">REPT("♥",SUM(IF(MONTH($E$4:$E$33)=I23,1)))</f>
        <v>♥♥♥</v>
      </c>
    </row>
    <row r="24" spans="1:10" x14ac:dyDescent="0.3">
      <c r="A24" s="6" t="s">
        <v>50</v>
      </c>
      <c r="B24" s="6" t="s">
        <v>10</v>
      </c>
      <c r="C24" s="3">
        <v>597</v>
      </c>
      <c r="D24" s="43" t="str">
        <f t="shared" si="1"/>
        <v xml:space="preserve">Emerald Hall </v>
      </c>
      <c r="E24" s="14">
        <v>43130</v>
      </c>
      <c r="F24" s="42" t="str">
        <f t="shared" si="2"/>
        <v/>
      </c>
      <c r="G24" s="6" t="str">
        <f t="shared" si="0"/>
        <v/>
      </c>
    </row>
    <row r="25" spans="1:10" x14ac:dyDescent="0.3">
      <c r="A25" s="6" t="s">
        <v>51</v>
      </c>
      <c r="B25" s="6" t="s">
        <v>10</v>
      </c>
      <c r="C25" s="3">
        <v>481</v>
      </c>
      <c r="D25" s="43" t="str">
        <f t="shared" si="1"/>
        <v xml:space="preserve">Emerald Hall </v>
      </c>
      <c r="E25" s="14">
        <v>43184</v>
      </c>
      <c r="F25" s="42" t="str">
        <f t="shared" si="2"/>
        <v>034</v>
      </c>
      <c r="G25" s="6" t="str">
        <f t="shared" si="0"/>
        <v>52일 남음</v>
      </c>
      <c r="I25" t="s">
        <v>161</v>
      </c>
    </row>
    <row r="26" spans="1:10" x14ac:dyDescent="0.3">
      <c r="A26" s="6" t="s">
        <v>52</v>
      </c>
      <c r="B26" s="6" t="s">
        <v>9</v>
      </c>
      <c r="C26" s="3">
        <v>254</v>
      </c>
      <c r="D26" s="43" t="str">
        <f t="shared" si="1"/>
        <v>Crystal Hall</v>
      </c>
      <c r="E26" s="14">
        <v>43219</v>
      </c>
      <c r="F26" s="42" t="str">
        <f t="shared" si="2"/>
        <v>059</v>
      </c>
      <c r="G26" s="6" t="str">
        <f t="shared" si="0"/>
        <v>87일 남음</v>
      </c>
      <c r="I26" s="2" t="s">
        <v>22</v>
      </c>
      <c r="J26" s="2" t="s">
        <v>23</v>
      </c>
    </row>
    <row r="27" spans="1:10" x14ac:dyDescent="0.3">
      <c r="A27" s="6" t="s">
        <v>53</v>
      </c>
      <c r="B27" s="6" t="s">
        <v>9</v>
      </c>
      <c r="C27" s="3">
        <v>398</v>
      </c>
      <c r="D27" s="43" t="str">
        <f t="shared" si="1"/>
        <v xml:space="preserve">Diamond Hall </v>
      </c>
      <c r="E27" s="14">
        <v>43246</v>
      </c>
      <c r="F27" s="42" t="str">
        <f t="shared" si="2"/>
        <v>078</v>
      </c>
      <c r="G27" s="6" t="str">
        <f t="shared" si="0"/>
        <v>114일 남음</v>
      </c>
      <c r="I27" s="12">
        <v>43101</v>
      </c>
      <c r="J27" s="2" t="s">
        <v>24</v>
      </c>
    </row>
    <row r="28" spans="1:10" x14ac:dyDescent="0.3">
      <c r="A28" s="6" t="s">
        <v>54</v>
      </c>
      <c r="B28" s="6" t="s">
        <v>10</v>
      </c>
      <c r="C28" s="3">
        <v>251</v>
      </c>
      <c r="D28" s="43" t="str">
        <f t="shared" si="1"/>
        <v xml:space="preserve">Diamond Hall </v>
      </c>
      <c r="E28" s="14">
        <v>43261</v>
      </c>
      <c r="F28" s="42" t="str">
        <f t="shared" si="2"/>
        <v>087</v>
      </c>
      <c r="G28" s="6" t="str">
        <f t="shared" si="0"/>
        <v>129일 남음</v>
      </c>
      <c r="I28" s="12">
        <v>43146</v>
      </c>
      <c r="J28" s="2" t="s">
        <v>26</v>
      </c>
    </row>
    <row r="29" spans="1:10" x14ac:dyDescent="0.3">
      <c r="A29" s="6" t="s">
        <v>55</v>
      </c>
      <c r="B29" s="6" t="s">
        <v>10</v>
      </c>
      <c r="C29" s="3">
        <v>394</v>
      </c>
      <c r="D29" s="43" t="str">
        <f t="shared" si="1"/>
        <v xml:space="preserve">Ruby Hall </v>
      </c>
      <c r="E29" s="14">
        <v>43228</v>
      </c>
      <c r="F29" s="42" t="str">
        <f t="shared" si="2"/>
        <v>066</v>
      </c>
      <c r="G29" s="6" t="str">
        <f t="shared" si="0"/>
        <v>96일 남음</v>
      </c>
      <c r="I29" s="12">
        <v>43147</v>
      </c>
      <c r="J29" s="2" t="s">
        <v>26</v>
      </c>
    </row>
    <row r="30" spans="1:10" x14ac:dyDescent="0.3">
      <c r="A30" s="6" t="s">
        <v>56</v>
      </c>
      <c r="B30" s="6" t="s">
        <v>10</v>
      </c>
      <c r="C30" s="3">
        <v>540</v>
      </c>
      <c r="D30" s="43" t="str">
        <f t="shared" si="1"/>
        <v xml:space="preserve">Emerald Hall </v>
      </c>
      <c r="E30" s="14">
        <v>43199</v>
      </c>
      <c r="F30" s="42" t="str">
        <f t="shared" si="2"/>
        <v>045</v>
      </c>
      <c r="G30" s="6" t="str">
        <f t="shared" si="0"/>
        <v>67일 남음</v>
      </c>
      <c r="I30" s="12">
        <v>43160</v>
      </c>
      <c r="J30" s="2" t="s">
        <v>25</v>
      </c>
    </row>
    <row r="31" spans="1:10" x14ac:dyDescent="0.3">
      <c r="A31" s="6" t="s">
        <v>57</v>
      </c>
      <c r="B31" s="6" t="s">
        <v>10</v>
      </c>
      <c r="C31" s="3">
        <v>480</v>
      </c>
      <c r="D31" s="43" t="str">
        <f t="shared" si="1"/>
        <v xml:space="preserve">Emerald Hall </v>
      </c>
      <c r="E31" s="14">
        <v>43161</v>
      </c>
      <c r="F31" s="42" t="str">
        <f t="shared" si="2"/>
        <v>019</v>
      </c>
      <c r="G31" s="6" t="str">
        <f t="shared" si="0"/>
        <v>29일 남음</v>
      </c>
      <c r="I31" s="12">
        <v>43242</v>
      </c>
      <c r="J31" s="2" t="s">
        <v>27</v>
      </c>
    </row>
    <row r="32" spans="1:10" x14ac:dyDescent="0.3">
      <c r="A32" s="6" t="s">
        <v>58</v>
      </c>
      <c r="B32" s="6" t="s">
        <v>10</v>
      </c>
      <c r="C32" s="3">
        <v>271</v>
      </c>
      <c r="D32" s="43" t="str">
        <f t="shared" si="1"/>
        <v xml:space="preserve">Diamond Hall </v>
      </c>
      <c r="E32" s="14">
        <v>43277</v>
      </c>
      <c r="F32" s="42" t="str">
        <f t="shared" si="2"/>
        <v>099</v>
      </c>
      <c r="G32" s="6" t="str">
        <f t="shared" si="0"/>
        <v>145일 남음</v>
      </c>
      <c r="I32" s="12">
        <v>43257</v>
      </c>
      <c r="J32" s="2" t="s">
        <v>28</v>
      </c>
    </row>
    <row r="33" spans="1:9" x14ac:dyDescent="0.3">
      <c r="A33" s="6" t="s">
        <v>59</v>
      </c>
      <c r="B33" s="6" t="s">
        <v>10</v>
      </c>
      <c r="C33" s="3">
        <v>359</v>
      </c>
      <c r="D33" s="43" t="str">
        <f t="shared" si="1"/>
        <v xml:space="preserve">Ruby Hall </v>
      </c>
      <c r="E33" s="14">
        <v>43170</v>
      </c>
      <c r="F33" s="42" t="str">
        <f t="shared" si="2"/>
        <v>024</v>
      </c>
      <c r="G33" s="6" t="str">
        <f t="shared" si="0"/>
        <v>38일 남음</v>
      </c>
      <c r="I33" s="11"/>
    </row>
    <row r="34" spans="1:9" x14ac:dyDescent="0.3">
      <c r="I34" s="11"/>
    </row>
  </sheetData>
  <mergeCells count="2">
    <mergeCell ref="I3:I4"/>
    <mergeCell ref="I9:J9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M32"/>
  <sheetViews>
    <sheetView workbookViewId="0"/>
  </sheetViews>
  <sheetFormatPr defaultRowHeight="16.5" x14ac:dyDescent="0.3"/>
  <cols>
    <col min="1" max="1" width="2.875" customWidth="1"/>
    <col min="5" max="5" width="14.375" bestFit="1" customWidth="1"/>
    <col min="6" max="6" width="11.125" bestFit="1" customWidth="1"/>
    <col min="8" max="8" width="11.5" customWidth="1"/>
    <col min="10" max="10" width="11.125" customWidth="1"/>
    <col min="11" max="12" width="11.25" customWidth="1"/>
    <col min="13" max="13" width="7.375" customWidth="1"/>
  </cols>
  <sheetData>
    <row r="2" spans="2:13" x14ac:dyDescent="0.3">
      <c r="B2" s="4" t="s">
        <v>225</v>
      </c>
      <c r="C2" s="4" t="s">
        <v>226</v>
      </c>
      <c r="D2" s="4" t="s">
        <v>227</v>
      </c>
      <c r="E2" s="4" t="s">
        <v>228</v>
      </c>
      <c r="F2" s="4" t="s">
        <v>229</v>
      </c>
      <c r="G2" s="4" t="s">
        <v>230</v>
      </c>
      <c r="H2" s="4" t="s">
        <v>231</v>
      </c>
      <c r="J2" s="31" t="s">
        <v>264</v>
      </c>
      <c r="K2" s="31" t="s">
        <v>170</v>
      </c>
    </row>
    <row r="3" spans="2:13" x14ac:dyDescent="0.3">
      <c r="B3" s="4" t="s">
        <v>241</v>
      </c>
      <c r="C3" s="4" t="s">
        <v>238</v>
      </c>
      <c r="D3" s="32">
        <v>215</v>
      </c>
      <c r="E3" s="4" t="s">
        <v>176</v>
      </c>
      <c r="F3" s="33">
        <v>43103</v>
      </c>
      <c r="G3" s="4" t="s">
        <v>179</v>
      </c>
      <c r="H3" s="4" t="s">
        <v>179</v>
      </c>
      <c r="J3" s="31" t="s">
        <v>171</v>
      </c>
      <c r="K3" t="s">
        <v>182</v>
      </c>
      <c r="L3" t="s">
        <v>172</v>
      </c>
      <c r="M3" t="s">
        <v>162</v>
      </c>
    </row>
    <row r="4" spans="2:13" x14ac:dyDescent="0.3">
      <c r="B4" s="4" t="s">
        <v>232</v>
      </c>
      <c r="C4" s="4" t="s">
        <v>233</v>
      </c>
      <c r="D4" s="32">
        <v>230</v>
      </c>
      <c r="E4" s="4" t="s">
        <v>173</v>
      </c>
      <c r="F4" s="33">
        <v>43195</v>
      </c>
      <c r="G4" s="4" t="s">
        <v>174</v>
      </c>
      <c r="H4" s="4" t="s">
        <v>175</v>
      </c>
      <c r="J4" s="13" t="s">
        <v>164</v>
      </c>
      <c r="K4" s="34">
        <v>406</v>
      </c>
      <c r="L4" s="34"/>
      <c r="M4" s="34">
        <v>406</v>
      </c>
    </row>
    <row r="5" spans="2:13" x14ac:dyDescent="0.3">
      <c r="B5" s="4" t="s">
        <v>262</v>
      </c>
      <c r="C5" s="4" t="s">
        <v>238</v>
      </c>
      <c r="D5" s="32">
        <v>271</v>
      </c>
      <c r="E5" s="4" t="s">
        <v>176</v>
      </c>
      <c r="F5" s="33">
        <v>43277</v>
      </c>
      <c r="G5" s="4" t="s">
        <v>221</v>
      </c>
      <c r="H5" s="4" t="s">
        <v>222</v>
      </c>
      <c r="J5" s="13" t="s">
        <v>165</v>
      </c>
      <c r="K5" s="34">
        <v>360</v>
      </c>
      <c r="L5" s="34">
        <v>351.75</v>
      </c>
      <c r="M5" s="34">
        <v>353.4</v>
      </c>
    </row>
    <row r="6" spans="2:13" x14ac:dyDescent="0.3">
      <c r="B6" s="4" t="s">
        <v>244</v>
      </c>
      <c r="C6" s="4" t="s">
        <v>233</v>
      </c>
      <c r="D6" s="32">
        <v>523</v>
      </c>
      <c r="E6" s="4" t="s">
        <v>185</v>
      </c>
      <c r="F6" s="33">
        <v>43223</v>
      </c>
      <c r="G6" s="4" t="s">
        <v>180</v>
      </c>
      <c r="H6" s="4" t="s">
        <v>181</v>
      </c>
      <c r="J6" s="13" t="s">
        <v>166</v>
      </c>
      <c r="K6" s="34">
        <v>370.2</v>
      </c>
      <c r="L6" s="34">
        <v>376</v>
      </c>
      <c r="M6" s="34">
        <v>371.85714285714283</v>
      </c>
    </row>
    <row r="7" spans="2:13" x14ac:dyDescent="0.3">
      <c r="B7" s="4" t="s">
        <v>259</v>
      </c>
      <c r="C7" s="4" t="s">
        <v>238</v>
      </c>
      <c r="D7" s="32">
        <v>394</v>
      </c>
      <c r="E7" s="4" t="s">
        <v>185</v>
      </c>
      <c r="F7" s="33">
        <v>43228</v>
      </c>
      <c r="G7" s="4" t="s">
        <v>217</v>
      </c>
      <c r="H7" s="4" t="s">
        <v>218</v>
      </c>
      <c r="J7" s="13" t="s">
        <v>167</v>
      </c>
      <c r="K7" s="34">
        <v>314</v>
      </c>
      <c r="L7" s="34">
        <v>242</v>
      </c>
      <c r="M7" s="34">
        <v>290</v>
      </c>
    </row>
    <row r="8" spans="2:13" x14ac:dyDescent="0.3">
      <c r="B8" s="4" t="s">
        <v>255</v>
      </c>
      <c r="C8" s="4" t="s">
        <v>238</v>
      </c>
      <c r="D8" s="32">
        <v>481</v>
      </c>
      <c r="E8" s="4" t="s">
        <v>212</v>
      </c>
      <c r="F8" s="33">
        <v>43184</v>
      </c>
      <c r="G8" s="4" t="s">
        <v>213</v>
      </c>
      <c r="H8" s="4" t="s">
        <v>214</v>
      </c>
      <c r="J8" s="13" t="s">
        <v>168</v>
      </c>
      <c r="K8" s="34">
        <v>344</v>
      </c>
      <c r="L8" s="34">
        <v>423.66666666666669</v>
      </c>
      <c r="M8" s="34">
        <v>383.83333333333331</v>
      </c>
    </row>
    <row r="9" spans="2:13" x14ac:dyDescent="0.3">
      <c r="B9" s="4" t="s">
        <v>253</v>
      </c>
      <c r="C9" s="4" t="s">
        <v>233</v>
      </c>
      <c r="D9" s="32">
        <v>294</v>
      </c>
      <c r="E9" s="4" t="s">
        <v>173</v>
      </c>
      <c r="F9" s="33">
        <v>43179</v>
      </c>
      <c r="G9" s="4" t="s">
        <v>210</v>
      </c>
      <c r="H9" s="4" t="s">
        <v>211</v>
      </c>
      <c r="J9" s="13" t="s">
        <v>265</v>
      </c>
      <c r="K9" s="34">
        <v>261</v>
      </c>
      <c r="L9" s="34">
        <v>394</v>
      </c>
      <c r="M9" s="34">
        <v>305.33333333333331</v>
      </c>
    </row>
    <row r="10" spans="2:13" x14ac:dyDescent="0.3">
      <c r="B10" s="4" t="s">
        <v>249</v>
      </c>
      <c r="C10" s="4" t="s">
        <v>238</v>
      </c>
      <c r="D10" s="32">
        <v>360</v>
      </c>
      <c r="E10" s="4" t="s">
        <v>185</v>
      </c>
      <c r="F10" s="33">
        <v>43150</v>
      </c>
      <c r="G10" s="4" t="s">
        <v>202</v>
      </c>
      <c r="H10" s="4" t="s">
        <v>203</v>
      </c>
      <c r="J10" s="13" t="s">
        <v>169</v>
      </c>
      <c r="K10" s="34"/>
      <c r="L10" s="34">
        <v>120</v>
      </c>
      <c r="M10" s="34">
        <v>120</v>
      </c>
    </row>
    <row r="11" spans="2:13" x14ac:dyDescent="0.3">
      <c r="B11" s="4" t="s">
        <v>247</v>
      </c>
      <c r="C11" s="4" t="s">
        <v>238</v>
      </c>
      <c r="D11" s="32">
        <v>214</v>
      </c>
      <c r="E11" s="4" t="s">
        <v>176</v>
      </c>
      <c r="F11" s="33">
        <v>43215</v>
      </c>
      <c r="G11" s="4" t="s">
        <v>198</v>
      </c>
      <c r="H11" s="4" t="s">
        <v>199</v>
      </c>
    </row>
    <row r="12" spans="2:13" x14ac:dyDescent="0.3">
      <c r="B12" s="4" t="s">
        <v>234</v>
      </c>
      <c r="C12" s="4" t="s">
        <v>233</v>
      </c>
      <c r="D12" s="32">
        <v>390</v>
      </c>
      <c r="E12" s="4" t="s">
        <v>176</v>
      </c>
      <c r="F12" s="33">
        <v>43140</v>
      </c>
      <c r="G12" s="4" t="s">
        <v>177</v>
      </c>
      <c r="H12" s="4" t="s">
        <v>178</v>
      </c>
    </row>
    <row r="13" spans="2:13" x14ac:dyDescent="0.3">
      <c r="B13" s="4" t="s">
        <v>236</v>
      </c>
      <c r="C13" s="4" t="s">
        <v>233</v>
      </c>
      <c r="D13" s="32">
        <v>350</v>
      </c>
      <c r="E13" s="4" t="s">
        <v>176</v>
      </c>
      <c r="F13" s="33">
        <v>43223</v>
      </c>
      <c r="G13" s="4" t="s">
        <v>180</v>
      </c>
      <c r="H13" s="4" t="s">
        <v>181</v>
      </c>
    </row>
    <row r="14" spans="2:13" x14ac:dyDescent="0.3">
      <c r="B14" s="4" t="s">
        <v>252</v>
      </c>
      <c r="C14" s="4" t="s">
        <v>233</v>
      </c>
      <c r="D14" s="32">
        <v>458</v>
      </c>
      <c r="E14" s="4" t="s">
        <v>185</v>
      </c>
      <c r="F14" s="33">
        <v>43178</v>
      </c>
      <c r="G14" s="4" t="s">
        <v>208</v>
      </c>
      <c r="H14" s="4" t="s">
        <v>209</v>
      </c>
    </row>
    <row r="15" spans="2:13" x14ac:dyDescent="0.3">
      <c r="B15" s="4" t="s">
        <v>239</v>
      </c>
      <c r="C15" s="4" t="s">
        <v>233</v>
      </c>
      <c r="D15" s="32">
        <v>452</v>
      </c>
      <c r="E15" s="4" t="s">
        <v>185</v>
      </c>
      <c r="F15" s="33">
        <v>43136</v>
      </c>
      <c r="G15" s="4" t="s">
        <v>186</v>
      </c>
      <c r="H15" s="4" t="s">
        <v>187</v>
      </c>
    </row>
    <row r="16" spans="2:13" x14ac:dyDescent="0.3">
      <c r="B16" s="4" t="s">
        <v>260</v>
      </c>
      <c r="C16" s="4" t="s">
        <v>238</v>
      </c>
      <c r="D16" s="32">
        <v>540</v>
      </c>
      <c r="E16" s="4" t="s">
        <v>212</v>
      </c>
      <c r="F16" s="33">
        <v>43199</v>
      </c>
      <c r="G16" s="4" t="s">
        <v>219</v>
      </c>
      <c r="H16" s="4" t="s">
        <v>220</v>
      </c>
    </row>
    <row r="17" spans="2:8" x14ac:dyDescent="0.3">
      <c r="B17" s="4" t="s">
        <v>258</v>
      </c>
      <c r="C17" s="4" t="s">
        <v>238</v>
      </c>
      <c r="D17" s="32">
        <v>251</v>
      </c>
      <c r="E17" s="4" t="s">
        <v>176</v>
      </c>
      <c r="F17" s="33">
        <v>43261</v>
      </c>
      <c r="G17" s="4" t="s">
        <v>204</v>
      </c>
      <c r="H17" s="4" t="s">
        <v>205</v>
      </c>
    </row>
    <row r="18" spans="2:8" x14ac:dyDescent="0.3">
      <c r="B18" s="4" t="s">
        <v>240</v>
      </c>
      <c r="C18" s="4" t="s">
        <v>238</v>
      </c>
      <c r="D18" s="32">
        <v>210</v>
      </c>
      <c r="E18" s="4" t="s">
        <v>176</v>
      </c>
      <c r="F18" s="33">
        <v>43161</v>
      </c>
      <c r="G18" s="4" t="s">
        <v>188</v>
      </c>
      <c r="H18" s="4" t="s">
        <v>189</v>
      </c>
    </row>
    <row r="19" spans="2:8" x14ac:dyDescent="0.3">
      <c r="B19" s="4" t="s">
        <v>245</v>
      </c>
      <c r="C19" s="4" t="s">
        <v>238</v>
      </c>
      <c r="D19" s="32">
        <v>352</v>
      </c>
      <c r="E19" s="4" t="s">
        <v>185</v>
      </c>
      <c r="F19" s="33">
        <v>43210</v>
      </c>
      <c r="G19" s="4" t="s">
        <v>194</v>
      </c>
      <c r="H19" s="4" t="s">
        <v>195</v>
      </c>
    </row>
    <row r="20" spans="2:8" x14ac:dyDescent="0.3">
      <c r="B20" s="4" t="s">
        <v>256</v>
      </c>
      <c r="C20" s="4" t="s">
        <v>233</v>
      </c>
      <c r="D20" s="32">
        <v>254</v>
      </c>
      <c r="E20" s="4" t="s">
        <v>173</v>
      </c>
      <c r="F20" s="33">
        <v>43219</v>
      </c>
      <c r="G20" s="4" t="s">
        <v>215</v>
      </c>
      <c r="H20" s="4" t="s">
        <v>216</v>
      </c>
    </row>
    <row r="21" spans="2:8" x14ac:dyDescent="0.3">
      <c r="B21" s="4" t="s">
        <v>235</v>
      </c>
      <c r="C21" s="4" t="s">
        <v>233</v>
      </c>
      <c r="D21" s="32">
        <v>120</v>
      </c>
      <c r="E21" s="4" t="s">
        <v>173</v>
      </c>
      <c r="F21" s="33">
        <v>43078</v>
      </c>
      <c r="G21" s="4" t="s">
        <v>179</v>
      </c>
      <c r="H21" s="4" t="s">
        <v>179</v>
      </c>
    </row>
    <row r="22" spans="2:8" x14ac:dyDescent="0.3">
      <c r="B22" s="4" t="s">
        <v>250</v>
      </c>
      <c r="C22" s="4" t="s">
        <v>233</v>
      </c>
      <c r="D22" s="32">
        <v>394</v>
      </c>
      <c r="E22" s="4" t="s">
        <v>176</v>
      </c>
      <c r="F22" s="33">
        <v>43261</v>
      </c>
      <c r="G22" s="4" t="s">
        <v>204</v>
      </c>
      <c r="H22" s="4" t="s">
        <v>205</v>
      </c>
    </row>
    <row r="23" spans="2:8" x14ac:dyDescent="0.3">
      <c r="B23" s="4" t="s">
        <v>237</v>
      </c>
      <c r="C23" s="4" t="s">
        <v>238</v>
      </c>
      <c r="D23" s="32">
        <v>150</v>
      </c>
      <c r="E23" s="4" t="s">
        <v>176</v>
      </c>
      <c r="F23" s="33">
        <v>43194</v>
      </c>
      <c r="G23" s="4" t="s">
        <v>183</v>
      </c>
      <c r="H23" s="4" t="s">
        <v>184</v>
      </c>
    </row>
    <row r="24" spans="2:8" x14ac:dyDescent="0.3">
      <c r="B24" s="4" t="s">
        <v>254</v>
      </c>
      <c r="C24" s="4" t="s">
        <v>238</v>
      </c>
      <c r="D24" s="32">
        <v>597</v>
      </c>
      <c r="E24" s="4" t="s">
        <v>212</v>
      </c>
      <c r="F24" s="33">
        <v>43130</v>
      </c>
      <c r="G24" s="4" t="s">
        <v>179</v>
      </c>
      <c r="H24" s="4" t="s">
        <v>179</v>
      </c>
    </row>
    <row r="25" spans="2:8" x14ac:dyDescent="0.3">
      <c r="B25" s="4" t="s">
        <v>248</v>
      </c>
      <c r="C25" s="4" t="s">
        <v>238</v>
      </c>
      <c r="D25" s="32">
        <v>251</v>
      </c>
      <c r="E25" s="4" t="s">
        <v>176</v>
      </c>
      <c r="F25" s="33">
        <v>43250</v>
      </c>
      <c r="G25" s="4" t="s">
        <v>200</v>
      </c>
      <c r="H25" s="4" t="s">
        <v>201</v>
      </c>
    </row>
    <row r="26" spans="2:8" x14ac:dyDescent="0.3">
      <c r="B26" s="4" t="s">
        <v>242</v>
      </c>
      <c r="C26" s="4" t="s">
        <v>233</v>
      </c>
      <c r="D26" s="32">
        <v>153</v>
      </c>
      <c r="E26" s="4" t="s">
        <v>173</v>
      </c>
      <c r="F26" s="33">
        <v>43151</v>
      </c>
      <c r="G26" s="4" t="s">
        <v>190</v>
      </c>
      <c r="H26" s="4" t="s">
        <v>191</v>
      </c>
    </row>
    <row r="27" spans="2:8" x14ac:dyDescent="0.3">
      <c r="B27" s="4" t="s">
        <v>246</v>
      </c>
      <c r="C27" s="4" t="s">
        <v>238</v>
      </c>
      <c r="D27" s="32">
        <v>321</v>
      </c>
      <c r="E27" s="4" t="s">
        <v>185</v>
      </c>
      <c r="F27" s="33">
        <v>43174</v>
      </c>
      <c r="G27" s="4" t="s">
        <v>196</v>
      </c>
      <c r="H27" s="4" t="s">
        <v>197</v>
      </c>
    </row>
    <row r="28" spans="2:8" x14ac:dyDescent="0.3">
      <c r="B28" s="4" t="s">
        <v>251</v>
      </c>
      <c r="C28" s="4" t="s">
        <v>238</v>
      </c>
      <c r="D28" s="32">
        <v>387</v>
      </c>
      <c r="E28" s="4" t="s">
        <v>185</v>
      </c>
      <c r="F28" s="33">
        <v>43246</v>
      </c>
      <c r="G28" s="4" t="s">
        <v>206</v>
      </c>
      <c r="H28" s="4" t="s">
        <v>207</v>
      </c>
    </row>
    <row r="29" spans="2:8" x14ac:dyDescent="0.3">
      <c r="B29" s="4" t="s">
        <v>257</v>
      </c>
      <c r="C29" s="4" t="s">
        <v>233</v>
      </c>
      <c r="D29" s="32">
        <v>398</v>
      </c>
      <c r="E29" s="4" t="s">
        <v>176</v>
      </c>
      <c r="F29" s="33">
        <v>43246</v>
      </c>
      <c r="G29" s="4" t="s">
        <v>206</v>
      </c>
      <c r="H29" s="4" t="s">
        <v>207</v>
      </c>
    </row>
    <row r="30" spans="2:8" x14ac:dyDescent="0.3">
      <c r="B30" s="4" t="s">
        <v>263</v>
      </c>
      <c r="C30" s="4" t="s">
        <v>238</v>
      </c>
      <c r="D30" s="32">
        <v>359</v>
      </c>
      <c r="E30" s="4" t="s">
        <v>185</v>
      </c>
      <c r="F30" s="33">
        <v>43170</v>
      </c>
      <c r="G30" s="4" t="s">
        <v>223</v>
      </c>
      <c r="H30" s="4" t="s">
        <v>224</v>
      </c>
    </row>
    <row r="31" spans="2:8" x14ac:dyDescent="0.3">
      <c r="B31" s="4" t="s">
        <v>243</v>
      </c>
      <c r="C31" s="4" t="s">
        <v>233</v>
      </c>
      <c r="D31" s="32">
        <v>412</v>
      </c>
      <c r="E31" s="4" t="s">
        <v>185</v>
      </c>
      <c r="F31" s="33">
        <v>43137</v>
      </c>
      <c r="G31" s="4" t="s">
        <v>192</v>
      </c>
      <c r="H31" s="4" t="s">
        <v>193</v>
      </c>
    </row>
    <row r="32" spans="2:8" x14ac:dyDescent="0.3">
      <c r="B32" s="4" t="s">
        <v>261</v>
      </c>
      <c r="C32" s="4" t="s">
        <v>238</v>
      </c>
      <c r="D32" s="32">
        <v>480</v>
      </c>
      <c r="E32" s="4" t="s">
        <v>212</v>
      </c>
      <c r="F32" s="33">
        <v>43161</v>
      </c>
      <c r="G32" s="4" t="s">
        <v>188</v>
      </c>
      <c r="H32" s="4" t="s">
        <v>189</v>
      </c>
    </row>
  </sheetData>
  <sortState ref="B3:H32">
    <sortCondition ref="B3:B32"/>
  </sortState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5"/>
  <sheetViews>
    <sheetView workbookViewId="0">
      <selection activeCell="E28" sqref="E28"/>
    </sheetView>
  </sheetViews>
  <sheetFormatPr defaultRowHeight="16.5" x14ac:dyDescent="0.3"/>
  <cols>
    <col min="1" max="1" width="2" customWidth="1"/>
    <col min="2" max="2" width="11" customWidth="1"/>
    <col min="3" max="3" width="13.5" bestFit="1" customWidth="1"/>
    <col min="4" max="4" width="13.625" bestFit="1" customWidth="1"/>
    <col min="5" max="5" width="12.375" bestFit="1" customWidth="1"/>
    <col min="6" max="6" width="13.875" customWidth="1"/>
    <col min="7" max="9" width="12.375" bestFit="1" customWidth="1"/>
  </cols>
  <sheetData>
    <row r="1" spans="2:9" x14ac:dyDescent="0.3">
      <c r="C1" t="s">
        <v>275</v>
      </c>
    </row>
    <row r="2" spans="2:9" x14ac:dyDescent="0.3">
      <c r="C2" s="30" t="s">
        <v>270</v>
      </c>
      <c r="D2" s="30" t="s">
        <v>271</v>
      </c>
    </row>
    <row r="3" spans="2:9" x14ac:dyDescent="0.3">
      <c r="C3" s="3" t="s">
        <v>266</v>
      </c>
      <c r="D3" s="36">
        <v>35000000</v>
      </c>
    </row>
    <row r="4" spans="2:9" x14ac:dyDescent="0.3">
      <c r="C4" s="3" t="s">
        <v>267</v>
      </c>
      <c r="D4" s="36">
        <v>20000000</v>
      </c>
    </row>
    <row r="5" spans="2:9" x14ac:dyDescent="0.3">
      <c r="C5" s="3" t="s">
        <v>268</v>
      </c>
      <c r="D5" s="3">
        <v>10</v>
      </c>
    </row>
    <row r="6" spans="2:9" x14ac:dyDescent="0.3">
      <c r="C6" s="3" t="s">
        <v>269</v>
      </c>
      <c r="D6" s="35">
        <f>SLN(D3,D4,D5)</f>
        <v>1500000</v>
      </c>
    </row>
    <row r="8" spans="2:9" x14ac:dyDescent="0.3">
      <c r="C8" t="s">
        <v>274</v>
      </c>
      <c r="D8" t="s">
        <v>272</v>
      </c>
    </row>
    <row r="9" spans="2:9" x14ac:dyDescent="0.3">
      <c r="C9" s="40">
        <f>SLN(D3,D4,D5)</f>
        <v>1500000</v>
      </c>
      <c r="D9" s="37">
        <v>5</v>
      </c>
      <c r="E9" s="37">
        <v>6</v>
      </c>
      <c r="F9" s="37">
        <v>7</v>
      </c>
      <c r="G9" s="37">
        <v>8</v>
      </c>
      <c r="H9" s="37">
        <v>9</v>
      </c>
      <c r="I9" s="37">
        <v>10</v>
      </c>
    </row>
    <row r="10" spans="2:9" x14ac:dyDescent="0.3">
      <c r="B10" s="39" t="s">
        <v>273</v>
      </c>
      <c r="C10" s="38">
        <v>30000000</v>
      </c>
      <c r="D10" s="36">
        <f t="dataTable" ref="D10:I15" dt2D="1" dtr="1" r1="D5" r2="D4"/>
        <v>1000000</v>
      </c>
      <c r="E10" s="36">
        <v>833333.33333333337</v>
      </c>
      <c r="F10" s="36">
        <v>714285.71428571432</v>
      </c>
      <c r="G10" s="36">
        <v>625000</v>
      </c>
      <c r="H10" s="36">
        <v>555555.5555555555</v>
      </c>
      <c r="I10" s="36">
        <v>500000</v>
      </c>
    </row>
    <row r="11" spans="2:9" x14ac:dyDescent="0.3">
      <c r="C11" s="38">
        <v>25000000</v>
      </c>
      <c r="D11" s="36">
        <v>2000000</v>
      </c>
      <c r="E11" s="36">
        <v>1666666.6666666667</v>
      </c>
      <c r="F11" s="36">
        <v>1428571.4285714286</v>
      </c>
      <c r="G11" s="36">
        <v>1250000</v>
      </c>
      <c r="H11" s="36">
        <v>1111111.111111111</v>
      </c>
      <c r="I11" s="36">
        <v>1000000</v>
      </c>
    </row>
    <row r="12" spans="2:9" x14ac:dyDescent="0.3">
      <c r="C12" s="38">
        <v>20000000</v>
      </c>
      <c r="D12" s="36">
        <v>3000000</v>
      </c>
      <c r="E12" s="36">
        <v>2500000</v>
      </c>
      <c r="F12" s="36">
        <v>2142857.1428571427</v>
      </c>
      <c r="G12" s="36">
        <v>1875000</v>
      </c>
      <c r="H12" s="36">
        <v>1666666.6666666667</v>
      </c>
      <c r="I12" s="36">
        <v>1500000</v>
      </c>
    </row>
    <row r="13" spans="2:9" x14ac:dyDescent="0.3">
      <c r="C13" s="38">
        <v>15000000</v>
      </c>
      <c r="D13" s="36">
        <v>4000000</v>
      </c>
      <c r="E13" s="36">
        <v>3333333.3333333335</v>
      </c>
      <c r="F13" s="36">
        <v>2857142.8571428573</v>
      </c>
      <c r="G13" s="36">
        <v>2500000</v>
      </c>
      <c r="H13" s="36">
        <v>2222222.222222222</v>
      </c>
      <c r="I13" s="36">
        <v>2000000</v>
      </c>
    </row>
    <row r="14" spans="2:9" x14ac:dyDescent="0.3">
      <c r="C14" s="38">
        <v>10000000</v>
      </c>
      <c r="D14" s="36">
        <v>5000000</v>
      </c>
      <c r="E14" s="36">
        <v>4166666.6666666665</v>
      </c>
      <c r="F14" s="36">
        <v>3571428.5714285714</v>
      </c>
      <c r="G14" s="36">
        <v>3125000</v>
      </c>
      <c r="H14" s="36">
        <v>2777777.777777778</v>
      </c>
      <c r="I14" s="36">
        <v>2500000</v>
      </c>
    </row>
    <row r="15" spans="2:9" x14ac:dyDescent="0.3">
      <c r="C15" s="38">
        <v>5000000</v>
      </c>
      <c r="D15" s="36">
        <v>6000000</v>
      </c>
      <c r="E15" s="36">
        <v>5000000</v>
      </c>
      <c r="F15" s="36">
        <v>4285714.2857142854</v>
      </c>
      <c r="G15" s="36">
        <v>3750000</v>
      </c>
      <c r="H15" s="36">
        <v>3333333.3333333335</v>
      </c>
      <c r="I15" s="36">
        <v>3000000</v>
      </c>
    </row>
  </sheetData>
  <sortState ref="A3:G24">
    <sortCondition ref="C3:C24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N9"/>
  <sheetViews>
    <sheetView workbookViewId="0"/>
  </sheetViews>
  <sheetFormatPr defaultRowHeight="16.5" x14ac:dyDescent="0.3"/>
  <sheetData>
    <row r="2" spans="2:14" x14ac:dyDescent="0.3">
      <c r="B2" t="s">
        <v>291</v>
      </c>
      <c r="C2" t="s">
        <v>292</v>
      </c>
    </row>
    <row r="3" spans="2:14" x14ac:dyDescent="0.3">
      <c r="B3" t="s">
        <v>299</v>
      </c>
      <c r="C3" t="s">
        <v>285</v>
      </c>
      <c r="D3" t="s">
        <v>165</v>
      </c>
      <c r="E3" t="s">
        <v>166</v>
      </c>
      <c r="F3" t="s">
        <v>167</v>
      </c>
      <c r="G3" t="s">
        <v>168</v>
      </c>
      <c r="H3" t="s">
        <v>265</v>
      </c>
      <c r="I3" t="s">
        <v>286</v>
      </c>
      <c r="J3" t="s">
        <v>287</v>
      </c>
      <c r="K3" t="s">
        <v>288</v>
      </c>
      <c r="L3" t="s">
        <v>289</v>
      </c>
      <c r="M3" t="s">
        <v>290</v>
      </c>
      <c r="N3" t="s">
        <v>169</v>
      </c>
    </row>
    <row r="4" spans="2:14" x14ac:dyDescent="0.3">
      <c r="B4" t="s">
        <v>293</v>
      </c>
      <c r="C4">
        <v>95</v>
      </c>
      <c r="D4">
        <v>100</v>
      </c>
      <c r="E4">
        <v>89</v>
      </c>
      <c r="F4">
        <v>97</v>
      </c>
      <c r="G4">
        <v>89</v>
      </c>
      <c r="H4">
        <v>90</v>
      </c>
      <c r="I4">
        <v>95</v>
      </c>
      <c r="J4">
        <v>93</v>
      </c>
      <c r="K4">
        <v>97</v>
      </c>
      <c r="L4">
        <v>99</v>
      </c>
      <c r="M4">
        <v>98</v>
      </c>
      <c r="N4">
        <v>96</v>
      </c>
    </row>
    <row r="5" spans="2:14" x14ac:dyDescent="0.3">
      <c r="B5" t="s">
        <v>294</v>
      </c>
      <c r="C5">
        <v>95</v>
      </c>
      <c r="D5">
        <v>85</v>
      </c>
      <c r="E5">
        <v>99</v>
      </c>
      <c r="F5">
        <v>88</v>
      </c>
      <c r="G5">
        <v>98</v>
      </c>
      <c r="H5">
        <v>78</v>
      </c>
      <c r="I5">
        <v>98</v>
      </c>
      <c r="J5">
        <v>88</v>
      </c>
      <c r="K5">
        <v>90</v>
      </c>
      <c r="L5">
        <v>95</v>
      </c>
      <c r="M5">
        <v>96</v>
      </c>
      <c r="N5">
        <v>98</v>
      </c>
    </row>
    <row r="6" spans="2:14" x14ac:dyDescent="0.3">
      <c r="B6" t="s">
        <v>295</v>
      </c>
      <c r="C6">
        <v>78</v>
      </c>
      <c r="D6">
        <v>88</v>
      </c>
      <c r="E6">
        <v>78</v>
      </c>
      <c r="F6">
        <v>80</v>
      </c>
      <c r="G6">
        <v>88</v>
      </c>
      <c r="H6">
        <v>87</v>
      </c>
      <c r="I6">
        <v>85</v>
      </c>
      <c r="J6">
        <v>80</v>
      </c>
      <c r="K6">
        <v>78</v>
      </c>
      <c r="L6">
        <v>88</v>
      </c>
      <c r="M6">
        <v>80</v>
      </c>
      <c r="N6">
        <v>89</v>
      </c>
    </row>
    <row r="7" spans="2:14" x14ac:dyDescent="0.3">
      <c r="B7" t="s">
        <v>296</v>
      </c>
      <c r="C7">
        <v>78</v>
      </c>
      <c r="D7">
        <v>65</v>
      </c>
      <c r="E7">
        <v>77</v>
      </c>
      <c r="F7">
        <v>70</v>
      </c>
      <c r="G7">
        <v>87</v>
      </c>
      <c r="H7">
        <v>89</v>
      </c>
      <c r="I7">
        <v>85</v>
      </c>
      <c r="J7">
        <v>95</v>
      </c>
      <c r="K7">
        <v>100</v>
      </c>
      <c r="L7">
        <v>89</v>
      </c>
      <c r="M7">
        <v>95</v>
      </c>
      <c r="N7">
        <v>95</v>
      </c>
    </row>
    <row r="8" spans="2:14" x14ac:dyDescent="0.3">
      <c r="B8" t="s">
        <v>297</v>
      </c>
      <c r="C8">
        <v>78</v>
      </c>
      <c r="D8">
        <v>99</v>
      </c>
      <c r="E8">
        <v>89</v>
      </c>
      <c r="F8">
        <v>84</v>
      </c>
      <c r="G8">
        <v>78</v>
      </c>
      <c r="H8">
        <v>88</v>
      </c>
      <c r="I8">
        <v>80</v>
      </c>
      <c r="J8">
        <v>89</v>
      </c>
      <c r="K8">
        <v>92</v>
      </c>
      <c r="L8">
        <v>75</v>
      </c>
      <c r="M8">
        <v>84</v>
      </c>
      <c r="N8">
        <v>92</v>
      </c>
    </row>
    <row r="9" spans="2:14" x14ac:dyDescent="0.3">
      <c r="B9" t="s">
        <v>298</v>
      </c>
      <c r="C9">
        <v>95</v>
      </c>
      <c r="D9">
        <v>68</v>
      </c>
      <c r="E9">
        <v>99</v>
      </c>
      <c r="F9">
        <v>85</v>
      </c>
      <c r="G9">
        <v>87</v>
      </c>
      <c r="H9">
        <v>80</v>
      </c>
      <c r="I9">
        <v>81</v>
      </c>
      <c r="J9">
        <v>83</v>
      </c>
      <c r="K9">
        <v>84</v>
      </c>
      <c r="L9">
        <v>81</v>
      </c>
      <c r="M9">
        <v>82</v>
      </c>
      <c r="N9">
        <v>87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K31"/>
  <sheetViews>
    <sheetView workbookViewId="0"/>
  </sheetViews>
  <sheetFormatPr defaultRowHeight="16.5" x14ac:dyDescent="0.3"/>
  <cols>
    <col min="1" max="1" width="4.375" style="1" customWidth="1"/>
    <col min="2" max="2" width="9" style="1"/>
    <col min="3" max="3" width="12.125" style="5" bestFit="1" customWidth="1"/>
    <col min="4" max="4" width="9" style="1"/>
    <col min="5" max="5" width="12.625" style="1" customWidth="1"/>
    <col min="6" max="6" width="17.5" style="1" customWidth="1"/>
    <col min="7" max="7" width="13.75" style="1" customWidth="1"/>
    <col min="8" max="8" width="9" style="1"/>
    <col min="9" max="9" width="12.25" style="1" customWidth="1"/>
    <col min="10" max="10" width="10.75" style="1" customWidth="1"/>
    <col min="11" max="16384" width="9" style="1"/>
  </cols>
  <sheetData>
    <row r="1" spans="2:11" x14ac:dyDescent="0.3">
      <c r="C1" s="1"/>
    </row>
    <row r="2" spans="2:11" x14ac:dyDescent="0.3">
      <c r="C2" s="1"/>
    </row>
    <row r="3" spans="2:11" x14ac:dyDescent="0.3">
      <c r="B3" s="1" t="s">
        <v>0</v>
      </c>
      <c r="C3" s="1"/>
      <c r="I3" s="41" t="s">
        <v>1</v>
      </c>
      <c r="J3" s="41"/>
      <c r="K3" s="41"/>
    </row>
    <row r="4" spans="2:11" x14ac:dyDescent="0.3">
      <c r="B4" s="1" t="s">
        <v>276</v>
      </c>
      <c r="C4" s="1" t="s">
        <v>277</v>
      </c>
      <c r="D4" s="1" t="s">
        <v>278</v>
      </c>
      <c r="E4" s="1" t="s">
        <v>279</v>
      </c>
      <c r="F4" s="1" t="s">
        <v>280</v>
      </c>
      <c r="G4" s="1" t="s">
        <v>281</v>
      </c>
      <c r="I4" s="30" t="s">
        <v>282</v>
      </c>
      <c r="J4" s="30" t="s">
        <v>283</v>
      </c>
      <c r="K4" s="41"/>
    </row>
    <row r="5" spans="2:11" x14ac:dyDescent="0.3">
      <c r="B5" s="1" t="s">
        <v>2</v>
      </c>
      <c r="C5" s="1" t="s">
        <v>163</v>
      </c>
      <c r="D5" s="1" t="s">
        <v>95</v>
      </c>
      <c r="E5" s="45">
        <v>43173</v>
      </c>
      <c r="F5" s="48">
        <v>0.72222222222222221</v>
      </c>
      <c r="G5" s="1" t="s">
        <v>284</v>
      </c>
      <c r="I5" s="30" t="s">
        <v>72</v>
      </c>
      <c r="J5" s="30" t="s">
        <v>95</v>
      </c>
      <c r="K5" s="41"/>
    </row>
    <row r="6" spans="2:11" x14ac:dyDescent="0.3">
      <c r="C6" s="1"/>
      <c r="E6" s="45"/>
      <c r="F6" s="46"/>
      <c r="I6" s="30" t="s">
        <v>81</v>
      </c>
      <c r="J6" s="30" t="s">
        <v>99</v>
      </c>
      <c r="K6" s="41"/>
    </row>
    <row r="7" spans="2:11" x14ac:dyDescent="0.3">
      <c r="C7" s="1"/>
      <c r="E7" s="45"/>
      <c r="F7" s="47"/>
      <c r="I7" s="30" t="s">
        <v>78</v>
      </c>
      <c r="J7" s="30" t="s">
        <v>101</v>
      </c>
      <c r="K7" s="41"/>
    </row>
    <row r="8" spans="2:11" x14ac:dyDescent="0.3">
      <c r="C8" s="1"/>
      <c r="E8" s="45"/>
      <c r="F8" s="47"/>
      <c r="I8" s="30" t="s">
        <v>73</v>
      </c>
      <c r="J8" s="30" t="s">
        <v>96</v>
      </c>
      <c r="K8" s="41"/>
    </row>
    <row r="9" spans="2:11" x14ac:dyDescent="0.3">
      <c r="C9" s="1"/>
      <c r="E9" s="45"/>
      <c r="F9" s="48"/>
      <c r="I9" s="30" t="s">
        <v>74</v>
      </c>
      <c r="J9" s="30" t="s">
        <v>100</v>
      </c>
      <c r="K9" s="41"/>
    </row>
    <row r="10" spans="2:11" x14ac:dyDescent="0.3">
      <c r="C10" s="1"/>
      <c r="I10" s="30" t="s">
        <v>80</v>
      </c>
      <c r="J10" s="30" t="s">
        <v>102</v>
      </c>
      <c r="K10" s="41"/>
    </row>
    <row r="11" spans="2:11" x14ac:dyDescent="0.3">
      <c r="C11" s="1"/>
      <c r="I11" s="30" t="s">
        <v>72</v>
      </c>
      <c r="J11" s="30" t="s">
        <v>95</v>
      </c>
      <c r="K11" s="41"/>
    </row>
    <row r="12" spans="2:11" x14ac:dyDescent="0.3">
      <c r="C12" s="1"/>
      <c r="I12" s="30" t="s">
        <v>75</v>
      </c>
      <c r="J12" s="30" t="s">
        <v>97</v>
      </c>
      <c r="K12" s="41"/>
    </row>
    <row r="13" spans="2:11" x14ac:dyDescent="0.3">
      <c r="C13" s="1"/>
      <c r="I13" s="30" t="s">
        <v>76</v>
      </c>
      <c r="J13" s="30" t="s">
        <v>98</v>
      </c>
      <c r="K13" s="41"/>
    </row>
    <row r="14" spans="2:11" x14ac:dyDescent="0.3">
      <c r="I14"/>
      <c r="J14"/>
    </row>
    <row r="15" spans="2:11" x14ac:dyDescent="0.3">
      <c r="I15"/>
      <c r="J15"/>
    </row>
    <row r="16" spans="2:11" x14ac:dyDescent="0.3">
      <c r="I16"/>
      <c r="J16"/>
    </row>
    <row r="17" spans="9:10" x14ac:dyDescent="0.3">
      <c r="I17"/>
      <c r="J17"/>
    </row>
    <row r="18" spans="9:10" x14ac:dyDescent="0.3">
      <c r="I18"/>
      <c r="J18"/>
    </row>
    <row r="19" spans="9:10" x14ac:dyDescent="0.3">
      <c r="I19"/>
      <c r="J19"/>
    </row>
    <row r="20" spans="9:10" x14ac:dyDescent="0.3">
      <c r="I20"/>
      <c r="J20"/>
    </row>
    <row r="21" spans="9:10" x14ac:dyDescent="0.3">
      <c r="I21"/>
      <c r="J21"/>
    </row>
    <row r="22" spans="9:10" x14ac:dyDescent="0.3">
      <c r="I22"/>
      <c r="J22"/>
    </row>
    <row r="23" spans="9:10" x14ac:dyDescent="0.3">
      <c r="I23"/>
      <c r="J23"/>
    </row>
    <row r="24" spans="9:10" x14ac:dyDescent="0.3">
      <c r="I24"/>
      <c r="J24"/>
    </row>
    <row r="25" spans="9:10" x14ac:dyDescent="0.3">
      <c r="I25"/>
      <c r="J25"/>
    </row>
    <row r="26" spans="9:10" x14ac:dyDescent="0.3">
      <c r="I26"/>
      <c r="J26"/>
    </row>
    <row r="27" spans="9:10" x14ac:dyDescent="0.3">
      <c r="I27"/>
      <c r="J27"/>
    </row>
    <row r="28" spans="9:10" x14ac:dyDescent="0.3">
      <c r="I28"/>
      <c r="J28"/>
    </row>
    <row r="29" spans="9:10" x14ac:dyDescent="0.3">
      <c r="I29"/>
      <c r="J29"/>
    </row>
    <row r="30" spans="9:10" x14ac:dyDescent="0.3">
      <c r="I30"/>
      <c r="J30"/>
    </row>
    <row r="31" spans="9:10" x14ac:dyDescent="0.3">
      <c r="I31"/>
      <c r="J3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md예약">
          <controlPr defaultSize="0" autoLine="0" r:id="rId4">
            <anchor moveWithCells="1">
              <from>
                <xdr:col>5</xdr:col>
                <xdr:colOff>219075</xdr:colOff>
                <xdr:row>0</xdr:row>
                <xdr:rowOff>76200</xdr:rowOff>
              </from>
              <to>
                <xdr:col>5</xdr:col>
                <xdr:colOff>1314450</xdr:colOff>
                <xdr:row>2</xdr:row>
                <xdr:rowOff>9525</xdr:rowOff>
              </to>
            </anchor>
          </controlPr>
        </control>
      </mc:Choice>
      <mc:Fallback>
        <control shapeId="8195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4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2018-04-25T05:43:32Z</cp:lastPrinted>
  <dcterms:created xsi:type="dcterms:W3CDTF">2018-02-06T03:44:36Z</dcterms:created>
  <dcterms:modified xsi:type="dcterms:W3CDTF">2018-12-03T01:33:37Z</dcterms:modified>
</cp:coreProperties>
</file>