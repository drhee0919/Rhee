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720" yWindow="420" windowWidth="26715" windowHeight="12720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7" r:id="rId7"/>
  </sheets>
  <functionGroups builtInGroupCount="17"/>
  <definedNames>
    <definedName name="_xlnm._FilterDatabase" localSheetId="1" hidden="1">'기본작업-2'!$A$2:$K$27</definedName>
    <definedName name="_xlnm.Criteria" localSheetId="1">'기본작업-2'!$A$29:$B$30</definedName>
    <definedName name="_xlnm.Extract" localSheetId="1">'기본작업-2'!$A$33:$K$33</definedName>
    <definedName name="MS_Access_Database_Query" localSheetId="0" hidden="1">'기본작업-1'!$B$2:$G$10</definedName>
  </definedNames>
  <calcPr calcId="145621"/>
  <pivotCaches>
    <pivotCache cacheId="40" r:id="rId8"/>
  </pivotCaches>
</workbook>
</file>

<file path=xl/calcChain.xml><?xml version="1.0" encoding="utf-8"?>
<calcChain xmlns="http://schemas.openxmlformats.org/spreadsheetml/2006/main">
  <c r="J4" i="3" l="1"/>
  <c r="F6" i="5" l="1"/>
  <c r="F5" i="5"/>
  <c r="F4" i="5"/>
  <c r="H36" i="3"/>
  <c r="H36" i="3" a="1"/>
  <c r="H35" i="3" a="1"/>
  <c r="H35" i="3" s="1"/>
  <c r="H34" i="3"/>
  <c r="H34" i="3" a="1"/>
  <c r="H33" i="3" a="1"/>
  <c r="H33" i="3" s="1"/>
  <c r="I32" i="3"/>
  <c r="H32" i="3"/>
  <c r="H32" i="3" a="1"/>
  <c r="I27" i="3"/>
  <c r="D27" i="3"/>
  <c r="I26" i="3"/>
  <c r="D26" i="3"/>
  <c r="I25" i="3"/>
  <c r="D25" i="3"/>
  <c r="I24" i="3"/>
  <c r="D24" i="3"/>
  <c r="I23" i="3"/>
  <c r="D23" i="3"/>
  <c r="I22" i="3"/>
  <c r="D22" i="3"/>
  <c r="I21" i="3"/>
  <c r="D21" i="3"/>
  <c r="I20" i="3"/>
  <c r="D20" i="3"/>
  <c r="I19" i="3"/>
  <c r="D19" i="3"/>
  <c r="I18" i="3"/>
  <c r="D18" i="3"/>
  <c r="I17" i="3"/>
  <c r="D17" i="3"/>
  <c r="I16" i="3"/>
  <c r="D16" i="3"/>
  <c r="I15" i="3"/>
  <c r="D15" i="3"/>
  <c r="I14" i="3"/>
  <c r="D14" i="3"/>
  <c r="I13" i="3"/>
  <c r="D13" i="3"/>
  <c r="I12" i="3"/>
  <c r="D12" i="3"/>
  <c r="I11" i="3"/>
  <c r="D11" i="3"/>
  <c r="I10" i="3"/>
  <c r="D10" i="3"/>
  <c r="I9" i="3"/>
  <c r="D9" i="3"/>
  <c r="I8" i="3"/>
  <c r="D8" i="3"/>
  <c r="I7" i="3"/>
  <c r="D7" i="3"/>
  <c r="I6" i="3"/>
  <c r="D6" i="3"/>
  <c r="I5" i="3"/>
  <c r="D5" i="3"/>
  <c r="I4" i="3"/>
  <c r="D4" i="3"/>
  <c r="I3" i="3"/>
  <c r="D3" i="3"/>
  <c r="B30" i="2"/>
  <c r="J25" i="3"/>
  <c r="J21" i="3"/>
  <c r="J17" i="3"/>
  <c r="J13" i="3"/>
  <c r="J9" i="3"/>
  <c r="J5" i="3"/>
  <c r="J15" i="3"/>
  <c r="J11" i="3"/>
  <c r="J7" i="3"/>
  <c r="J3" i="3"/>
  <c r="J24" i="3"/>
  <c r="J20" i="3"/>
  <c r="J16" i="3"/>
  <c r="J12" i="3"/>
  <c r="J8" i="3"/>
  <c r="J26" i="3"/>
  <c r="J22" i="3"/>
  <c r="J18" i="3"/>
  <c r="J14" i="3"/>
  <c r="J10" i="3"/>
  <c r="J6" i="3"/>
  <c r="J27" i="3"/>
  <c r="J23" i="3"/>
  <c r="J19" i="3"/>
</calcChain>
</file>

<file path=xl/connections.xml><?xml version="1.0" encoding="utf-8"?>
<connections xmlns="http://schemas.openxmlformats.org/spreadsheetml/2006/main">
  <connection id="1" name="MS Access Database_Query" type="1" refreshedVersion="4" background="1" saveData="1">
    <dbPr connection="DSN=MS Access Database;DBQ=C:\길벗컴활1급\03 최신기출문제\06 15년상시\판매현황.accdb;DefaultDir=C:\길벗컴활1급\03 최신기출문제\06 15년상시;DriverId=25;FIL=MS Access;MaxBufferSize=2048;PageTimeout=5;" command="SELECT 서울지역.성명, 서울지역.가입일, 서울지역.직업, 서울지역.지역, 서울지역.구매건수, 서울지역.구매금액_x000d__x000a_FROM `C:\길벗컴활1급\03 최신기출문제\06 15년상시\판매현황.accdb`.서울지역 서울지역_x000d__x000a_WHERE (서울지역.가입일&gt;={ts '2015-05-01 00:00:00'} And 서울지역.가입일&lt;={ts '2015-05-31 00:00:00'}) AND (서울지역.구매건수&gt;=15)_x000d__x000a_ORDER BY 서울지역.직업 DESC, 서울지역.구매건수"/>
  </connection>
</connections>
</file>

<file path=xl/sharedStrings.xml><?xml version="1.0" encoding="utf-8"?>
<sst xmlns="http://schemas.openxmlformats.org/spreadsheetml/2006/main" count="483" uniqueCount="176">
  <si>
    <t>[표1]</t>
    <phoneticPr fontId="3" type="noConversion"/>
  </si>
  <si>
    <t>회원코드</t>
    <phoneticPr fontId="2" type="noConversion"/>
  </si>
  <si>
    <t>성명</t>
    <phoneticPr fontId="3" type="noConversion"/>
  </si>
  <si>
    <t>가입일</t>
    <phoneticPr fontId="2" type="noConversion"/>
  </si>
  <si>
    <t>주민등록번호</t>
    <phoneticPr fontId="2" type="noConversion"/>
  </si>
  <si>
    <t>직업</t>
    <phoneticPr fontId="3" type="noConversion"/>
  </si>
  <si>
    <t>지역</t>
    <phoneticPr fontId="2" type="noConversion"/>
  </si>
  <si>
    <t>구매건수</t>
    <phoneticPr fontId="3" type="noConversion"/>
  </si>
  <si>
    <t>구매금액</t>
    <phoneticPr fontId="3" type="noConversion"/>
  </si>
  <si>
    <t>대출금액</t>
    <phoneticPr fontId="3" type="noConversion"/>
  </si>
  <si>
    <t>대출기간</t>
    <phoneticPr fontId="3" type="noConversion"/>
  </si>
  <si>
    <t>월상환액</t>
    <phoneticPr fontId="3" type="noConversion"/>
  </si>
  <si>
    <t>JB643</t>
  </si>
  <si>
    <t>서현명</t>
    <phoneticPr fontId="3" type="noConversion"/>
  </si>
  <si>
    <t>840507-1******</t>
  </si>
  <si>
    <t>회사원</t>
  </si>
  <si>
    <t>북부</t>
  </si>
  <si>
    <t>-</t>
    <phoneticPr fontId="3" type="noConversion"/>
  </si>
  <si>
    <t>대출없음</t>
  </si>
  <si>
    <t>JB398</t>
  </si>
  <si>
    <t>고광섭</t>
    <phoneticPr fontId="3" type="noConversion"/>
  </si>
  <si>
    <t>830307-2******</t>
  </si>
  <si>
    <t>남부</t>
  </si>
  <si>
    <t>JB578</t>
  </si>
  <si>
    <t>김은조</t>
    <phoneticPr fontId="3" type="noConversion"/>
  </si>
  <si>
    <t>990503-1******</t>
  </si>
  <si>
    <t>JC509</t>
  </si>
  <si>
    <t>권창영</t>
    <phoneticPr fontId="3" type="noConversion"/>
  </si>
  <si>
    <t>980208-2******</t>
  </si>
  <si>
    <t>의사</t>
  </si>
  <si>
    <t>서부</t>
  </si>
  <si>
    <t>JA845</t>
  </si>
  <si>
    <t>임종례</t>
    <phoneticPr fontId="3" type="noConversion"/>
  </si>
  <si>
    <t>890503-2******</t>
  </si>
  <si>
    <t>자영업</t>
  </si>
  <si>
    <t>JA140</t>
  </si>
  <si>
    <t>이찬진</t>
    <phoneticPr fontId="3" type="noConversion"/>
  </si>
  <si>
    <t>760604-2******</t>
  </si>
  <si>
    <t>동부</t>
  </si>
  <si>
    <t>JC268</t>
  </si>
  <si>
    <t>채경찬</t>
    <phoneticPr fontId="3" type="noConversion"/>
  </si>
  <si>
    <t>780329-1******</t>
  </si>
  <si>
    <t>JA188</t>
  </si>
  <si>
    <t>김숙자</t>
    <phoneticPr fontId="3" type="noConversion"/>
  </si>
  <si>
    <t>870916-2******</t>
  </si>
  <si>
    <t>JB661</t>
  </si>
  <si>
    <t>홍민국</t>
    <phoneticPr fontId="3" type="noConversion"/>
  </si>
  <si>
    <t>771029-1******</t>
  </si>
  <si>
    <t>JA219</t>
  </si>
  <si>
    <t>배진찬</t>
    <phoneticPr fontId="3" type="noConversion"/>
  </si>
  <si>
    <t>880311-1******</t>
  </si>
  <si>
    <t>JD977</t>
  </si>
  <si>
    <t>정종수</t>
    <phoneticPr fontId="3" type="noConversion"/>
  </si>
  <si>
    <t>960729-1******</t>
  </si>
  <si>
    <t>공무원</t>
  </si>
  <si>
    <t>JB583</t>
  </si>
  <si>
    <t>이민준</t>
  </si>
  <si>
    <t>770120-1******</t>
  </si>
  <si>
    <t>JB523</t>
  </si>
  <si>
    <t>오수진</t>
  </si>
  <si>
    <t>830122-2******</t>
  </si>
  <si>
    <t>JC864</t>
  </si>
  <si>
    <t>이영민</t>
    <phoneticPr fontId="3" type="noConversion"/>
  </si>
  <si>
    <t>841112-2******</t>
  </si>
  <si>
    <t>JD807</t>
  </si>
  <si>
    <t>강진구</t>
    <phoneticPr fontId="3" type="noConversion"/>
  </si>
  <si>
    <t>881026-2******</t>
  </si>
  <si>
    <t>JC741</t>
  </si>
  <si>
    <t>김현민</t>
    <phoneticPr fontId="3" type="noConversion"/>
  </si>
  <si>
    <t>810423-2******</t>
  </si>
  <si>
    <t>JB571</t>
  </si>
  <si>
    <t>배종숙</t>
    <phoneticPr fontId="3" type="noConversion"/>
  </si>
  <si>
    <t>921126-2******</t>
  </si>
  <si>
    <t>JD367</t>
  </si>
  <si>
    <t>이영숙</t>
    <phoneticPr fontId="3" type="noConversion"/>
  </si>
  <si>
    <t>800727-2******</t>
  </si>
  <si>
    <t>JC664</t>
  </si>
  <si>
    <t>강동희</t>
    <phoneticPr fontId="3" type="noConversion"/>
  </si>
  <si>
    <t>950610-2******</t>
  </si>
  <si>
    <t>JC590</t>
  </si>
  <si>
    <t>김영민</t>
    <phoneticPr fontId="3" type="noConversion"/>
  </si>
  <si>
    <t>981229-1******</t>
  </si>
  <si>
    <t>JE386</t>
  </si>
  <si>
    <t>명노찬</t>
    <phoneticPr fontId="3" type="noConversion"/>
  </si>
  <si>
    <t>890221-2******</t>
  </si>
  <si>
    <t>변호사</t>
  </si>
  <si>
    <t>JA649</t>
  </si>
  <si>
    <t>박지원</t>
  </si>
  <si>
    <t>930822-2******</t>
  </si>
  <si>
    <t>JC663</t>
  </si>
  <si>
    <t>윤선중</t>
  </si>
  <si>
    <t>850109-1******</t>
  </si>
  <si>
    <t>JB336</t>
  </si>
  <si>
    <t>이성국</t>
    <phoneticPr fontId="3" type="noConversion"/>
  </si>
  <si>
    <t>951225-2******</t>
  </si>
  <si>
    <t>JA165</t>
  </si>
  <si>
    <t>유현민</t>
    <phoneticPr fontId="3" type="noConversion"/>
  </si>
  <si>
    <t>760520-2******</t>
  </si>
  <si>
    <t>건수</t>
    <phoneticPr fontId="2" type="noConversion"/>
  </si>
  <si>
    <t>JB*</t>
    <phoneticPr fontId="2" type="noConversion"/>
  </si>
  <si>
    <t>비고</t>
    <phoneticPr fontId="3" type="noConversion"/>
  </si>
  <si>
    <t>[표2]</t>
    <phoneticPr fontId="3" type="noConversion"/>
  </si>
  <si>
    <t>최대
대출금액</t>
    <phoneticPr fontId="3" type="noConversion"/>
  </si>
  <si>
    <t>구매건수가 
가장 적은 회원</t>
    <phoneticPr fontId="3" type="noConversion"/>
  </si>
  <si>
    <t>코드</t>
    <phoneticPr fontId="2" type="noConversion"/>
  </si>
  <si>
    <t>JA</t>
  </si>
  <si>
    <t>자영업</t>
    <phoneticPr fontId="3" type="noConversion"/>
  </si>
  <si>
    <t>JB</t>
  </si>
  <si>
    <t>회사원</t>
    <phoneticPr fontId="3" type="noConversion"/>
  </si>
  <si>
    <t>JD</t>
  </si>
  <si>
    <t>공무원</t>
    <phoneticPr fontId="3" type="noConversion"/>
  </si>
  <si>
    <t>JC</t>
  </si>
  <si>
    <t>의사</t>
    <phoneticPr fontId="3" type="noConversion"/>
  </si>
  <si>
    <t>JE</t>
  </si>
  <si>
    <t>변호사</t>
    <phoneticPr fontId="3" type="noConversion"/>
  </si>
  <si>
    <t>[표1]</t>
    <phoneticPr fontId="2" type="noConversion"/>
  </si>
  <si>
    <t>성명</t>
    <phoneticPr fontId="2" type="noConversion"/>
  </si>
  <si>
    <t>대출금액</t>
    <phoneticPr fontId="2" type="noConversion"/>
  </si>
  <si>
    <t>대출기간(월)</t>
    <phoneticPr fontId="2" type="noConversion"/>
  </si>
  <si>
    <t>연이율</t>
    <phoneticPr fontId="2" type="noConversion"/>
  </si>
  <si>
    <t>월상환액</t>
    <phoneticPr fontId="2" type="noConversion"/>
  </si>
  <si>
    <t>강민경</t>
    <phoneticPr fontId="2" type="noConversion"/>
  </si>
  <si>
    <t>이숙자</t>
    <phoneticPr fontId="2" type="noConversion"/>
  </si>
  <si>
    <t>홍석희</t>
    <phoneticPr fontId="2" type="noConversion"/>
  </si>
  <si>
    <t>[표1] 직업별 대출 현황</t>
    <phoneticPr fontId="2" type="noConversion"/>
  </si>
  <si>
    <t>직업</t>
  </si>
  <si>
    <t>대출금액</t>
  </si>
  <si>
    <t>대출기간</t>
  </si>
  <si>
    <t>월상환액</t>
  </si>
  <si>
    <t>[표1]</t>
    <phoneticPr fontId="2" type="noConversion"/>
  </si>
  <si>
    <t>성명</t>
    <phoneticPr fontId="3" type="noConversion"/>
  </si>
  <si>
    <t>대출일</t>
    <phoneticPr fontId="2" type="noConversion"/>
  </si>
  <si>
    <t>직업</t>
    <phoneticPr fontId="3" type="noConversion"/>
  </si>
  <si>
    <t>대출금액</t>
    <phoneticPr fontId="3" type="noConversion"/>
  </si>
  <si>
    <t>대출기간(년)</t>
    <phoneticPr fontId="3" type="noConversion"/>
  </si>
  <si>
    <t>연이율</t>
    <phoneticPr fontId="3" type="noConversion"/>
  </si>
  <si>
    <t>월이자</t>
    <phoneticPr fontId="2" type="noConversion"/>
  </si>
  <si>
    <t>직업</t>
    <phoneticPr fontId="2" type="noConversion"/>
  </si>
  <si>
    <t>홍길동</t>
  </si>
  <si>
    <t>2015-08-21</t>
  </si>
  <si>
    <t>2</t>
  </si>
  <si>
    <t>교사</t>
    <phoneticPr fontId="2" type="noConversion"/>
  </si>
  <si>
    <t>회계사</t>
    <phoneticPr fontId="2" type="noConversion"/>
  </si>
  <si>
    <t>기타</t>
    <phoneticPr fontId="2" type="noConversion"/>
  </si>
  <si>
    <t>성명</t>
  </si>
  <si>
    <t>가입일</t>
  </si>
  <si>
    <t>지역</t>
  </si>
  <si>
    <t>구매건수</t>
  </si>
  <si>
    <t>구매금액</t>
  </si>
  <si>
    <t>이찬진</t>
  </si>
  <si>
    <t>유현민</t>
  </si>
  <si>
    <t>이영민</t>
  </si>
  <si>
    <t>김영민</t>
  </si>
  <si>
    <t>채경찬</t>
  </si>
  <si>
    <t>서현명</t>
  </si>
  <si>
    <t>고광섭</t>
  </si>
  <si>
    <t>김은조</t>
  </si>
  <si>
    <t>권창영</t>
  </si>
  <si>
    <t>임종례</t>
  </si>
  <si>
    <t>김숙자</t>
  </si>
  <si>
    <t>홍민국</t>
  </si>
  <si>
    <t>배진찬</t>
  </si>
  <si>
    <t>정종수</t>
  </si>
  <si>
    <t>강진구</t>
  </si>
  <si>
    <t>김현민</t>
  </si>
  <si>
    <t>배종숙</t>
  </si>
  <si>
    <t>이영숙</t>
  </si>
  <si>
    <t>강동희</t>
  </si>
  <si>
    <t>명노찬</t>
  </si>
  <si>
    <t>이성국</t>
  </si>
  <si>
    <t>합계 : 구매금액</t>
  </si>
  <si>
    <t>평균 : 구매금액2</t>
  </si>
  <si>
    <t>값</t>
  </si>
  <si>
    <t>전체 합계 : 구매금액</t>
  </si>
  <si>
    <t>전체 평균 : 구매금액2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</si>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</sst>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5" formatCode="&quot;₩&quot;#,##0;\-&quot;₩&quot;#,##0"/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176" formatCode="0.0%"/>
  </numFmts>
  <fonts count="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indexed="8"/>
      <name val="맑은 고딕"/>
      <family val="3"/>
      <charset val="129"/>
    </font>
    <font>
      <sz val="12"/>
      <color indexed="8"/>
      <name val="굴림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2"/>
        <bgColor indexed="0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/>
  </cellStyleXfs>
  <cellXfs count="3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2" fontId="0" fillId="0" borderId="1" xfId="2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2" fontId="0" fillId="0" borderId="0" xfId="0" applyNumberFormat="1">
      <alignment vertical="center"/>
    </xf>
    <xf numFmtId="0" fontId="0" fillId="0" borderId="0" xfId="0" applyFill="1" applyBorder="1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76" fontId="0" fillId="0" borderId="1" xfId="3" applyNumberFormat="1" applyFont="1" applyBorder="1" applyAlignment="1">
      <alignment horizontal="center" vertical="center"/>
    </xf>
    <xf numFmtId="0" fontId="0" fillId="0" borderId="1" xfId="2" applyNumberFormat="1" applyFont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0" borderId="1" xfId="0" applyBorder="1">
      <alignment vertical="center"/>
    </xf>
    <xf numFmtId="10" fontId="0" fillId="0" borderId="1" xfId="0" applyNumberFormat="1" applyBorder="1">
      <alignment vertical="center"/>
    </xf>
    <xf numFmtId="42" fontId="0" fillId="0" borderId="1" xfId="2" applyFont="1" applyBorder="1">
      <alignment vertical="center"/>
    </xf>
    <xf numFmtId="3" fontId="0" fillId="0" borderId="1" xfId="0" applyNumberFormat="1" applyBorder="1" applyAlignment="1">
      <alignment horizontal="center" vertical="center"/>
    </xf>
    <xf numFmtId="10" fontId="0" fillId="0" borderId="1" xfId="2" applyNumberFormat="1" applyFont="1" applyBorder="1" applyAlignment="1">
      <alignment horizontal="center" vertical="center"/>
    </xf>
    <xf numFmtId="3" fontId="0" fillId="0" borderId="1" xfId="0" applyNumberFormat="1" applyBorder="1">
      <alignment vertical="center"/>
    </xf>
    <xf numFmtId="3" fontId="0" fillId="0" borderId="1" xfId="2" applyNumberFormat="1" applyFont="1" applyBorder="1" applyAlignment="1">
      <alignment horizontal="center" vertical="center"/>
    </xf>
    <xf numFmtId="0" fontId="0" fillId="0" borderId="1" xfId="0" applyNumberFormat="1" applyBorder="1">
      <alignment vertical="center"/>
    </xf>
    <xf numFmtId="0" fontId="0" fillId="0" borderId="1" xfId="0" applyNumberFormat="1" applyBorder="1" applyAlignment="1">
      <alignment horizontal="center" vertical="center"/>
    </xf>
    <xf numFmtId="0" fontId="0" fillId="0" borderId="0" xfId="0" applyNumberFormat="1">
      <alignment vertical="center"/>
    </xf>
    <xf numFmtId="44" fontId="0" fillId="0" borderId="0" xfId="0" applyNumberFormat="1">
      <alignment vertical="center"/>
    </xf>
    <xf numFmtId="22" fontId="0" fillId="0" borderId="0" xfId="0" applyNumberFormat="1">
      <alignment vertical="center"/>
    </xf>
    <xf numFmtId="0" fontId="4" fillId="3" borderId="9" xfId="4" applyFont="1" applyFill="1" applyBorder="1" applyAlignment="1">
      <alignment horizontal="center"/>
    </xf>
    <xf numFmtId="0" fontId="4" fillId="0" borderId="10" xfId="4" applyFont="1" applyFill="1" applyBorder="1" applyAlignment="1">
      <alignment wrapText="1"/>
    </xf>
    <xf numFmtId="5" fontId="4" fillId="0" borderId="10" xfId="4" applyNumberFormat="1" applyFont="1" applyFill="1" applyBorder="1" applyAlignment="1">
      <alignment horizontal="right" wrapText="1"/>
    </xf>
    <xf numFmtId="0" fontId="0" fillId="0" borderId="0" xfId="0" pivotButton="1">
      <alignment vertical="center"/>
    </xf>
    <xf numFmtId="41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</cellXfs>
  <cellStyles count="5">
    <cellStyle name="백분율" xfId="3" builtinId="5"/>
    <cellStyle name="쉼표 [0]" xfId="1" builtinId="6"/>
    <cellStyle name="통화 [0]" xfId="2" builtinId="7"/>
    <cellStyle name="표준" xfId="0" builtinId="0"/>
    <cellStyle name="표준_분석작업-1" xfId="4"/>
  </cellStyles>
  <dxfs count="3">
    <dxf>
      <font>
        <b/>
        <i val="0"/>
        <u val="double"/>
      </font>
    </dxf>
    <dxf>
      <font>
        <b/>
        <i val="0"/>
        <u val="double"/>
      </font>
    </dxf>
    <dxf>
      <numFmt numFmtId="27" formatCode="yyyy/mm/dd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/>
            </a:pPr>
            <a:r>
              <a:rPr lang="ko-KR" altLang="en-US"/>
              <a:t>직업별 대출 현황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대출금액</c:v>
                </c:pt>
              </c:strCache>
            </c:strRef>
          </c:tx>
          <c:invertIfNegative val="0"/>
          <c:cat>
            <c:strRef>
              <c:f>'기타작업-1'!$B$4:$B$8</c:f>
              <c:strCache>
                <c:ptCount val="5"/>
                <c:pt idx="0">
                  <c:v>자영업</c:v>
                </c:pt>
                <c:pt idx="1">
                  <c:v>회사원</c:v>
                </c:pt>
                <c:pt idx="2">
                  <c:v>공무원</c:v>
                </c:pt>
                <c:pt idx="3">
                  <c:v>의사</c:v>
                </c:pt>
                <c:pt idx="4">
                  <c:v>변호사</c:v>
                </c:pt>
              </c:strCache>
            </c:strRef>
          </c:cat>
          <c:val>
            <c:numRef>
              <c:f>'기타작업-1'!$C$4:$C$8</c:f>
              <c:numCache>
                <c:formatCode>_(* #,##0_);_(* \(#,##0\);_(* "-"_);_(@_)</c:formatCode>
                <c:ptCount val="5"/>
                <c:pt idx="0">
                  <c:v>45000000</c:v>
                </c:pt>
                <c:pt idx="1">
                  <c:v>64000000</c:v>
                </c:pt>
                <c:pt idx="2">
                  <c:v>28500000</c:v>
                </c:pt>
                <c:pt idx="3">
                  <c:v>34000000</c:v>
                </c:pt>
                <c:pt idx="4">
                  <c:v>10000000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9829376"/>
        <c:axId val="89830912"/>
      </c:barChart>
      <c:lineChart>
        <c:grouping val="standard"/>
        <c:varyColors val="0"/>
        <c:ser>
          <c:idx val="1"/>
          <c:order val="1"/>
          <c:tx>
            <c:strRef>
              <c:f>'기타작업-1'!$D$3</c:f>
              <c:strCache>
                <c:ptCount val="1"/>
                <c:pt idx="0">
                  <c:v>대출기간</c:v>
                </c:pt>
              </c:strCache>
            </c:strRef>
          </c:tx>
          <c:cat>
            <c:strRef>
              <c:f>'기타작업-1'!$B$4:$B$8</c:f>
              <c:strCache>
                <c:ptCount val="5"/>
                <c:pt idx="0">
                  <c:v>자영업</c:v>
                </c:pt>
                <c:pt idx="1">
                  <c:v>회사원</c:v>
                </c:pt>
                <c:pt idx="2">
                  <c:v>공무원</c:v>
                </c:pt>
                <c:pt idx="3">
                  <c:v>의사</c:v>
                </c:pt>
                <c:pt idx="4">
                  <c:v>변호사</c:v>
                </c:pt>
              </c:strCache>
            </c:strRef>
          </c:cat>
          <c:val>
            <c:numRef>
              <c:f>'기타작업-1'!$D$4:$D$8</c:f>
              <c:numCache>
                <c:formatCode>General</c:formatCode>
                <c:ptCount val="5"/>
                <c:pt idx="0">
                  <c:v>11</c:v>
                </c:pt>
                <c:pt idx="1">
                  <c:v>21</c:v>
                </c:pt>
                <c:pt idx="2">
                  <c:v>7</c:v>
                </c:pt>
                <c:pt idx="3">
                  <c:v>12</c:v>
                </c:pt>
                <c:pt idx="4">
                  <c:v>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909504"/>
        <c:axId val="91906048"/>
      </c:lineChart>
      <c:catAx>
        <c:axId val="89829376"/>
        <c:scaling>
          <c:orientation val="minMax"/>
        </c:scaling>
        <c:delete val="0"/>
        <c:axPos val="b"/>
        <c:majorTickMark val="none"/>
        <c:minorTickMark val="none"/>
        <c:tickLblPos val="nextTo"/>
        <c:crossAx val="89830912"/>
        <c:crosses val="autoZero"/>
        <c:auto val="1"/>
        <c:lblAlgn val="ctr"/>
        <c:lblOffset val="100"/>
        <c:noMultiLvlLbl val="0"/>
      </c:catAx>
      <c:valAx>
        <c:axId val="89830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ko-KR" altLang="en-US"/>
                  <a:t>대출금액</a:t>
                </a:r>
              </a:p>
            </c:rich>
          </c:tx>
          <c:layout/>
          <c:overlay val="0"/>
        </c:title>
        <c:numFmt formatCode="_(* #,##0_);_(* \(#,##0\);_(* &quot;-&quot;_);_(@_)" sourceLinked="1"/>
        <c:majorTickMark val="none"/>
        <c:minorTickMark val="none"/>
        <c:tickLblPos val="nextTo"/>
        <c:crossAx val="89829376"/>
        <c:crosses val="autoZero"/>
        <c:crossBetween val="between"/>
        <c:dispUnits>
          <c:builtInUnit val="thousands"/>
          <c:dispUnitsLbl>
            <c:layout/>
          </c:dispUnitsLbl>
        </c:dispUnits>
      </c:valAx>
      <c:valAx>
        <c:axId val="919060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91909504"/>
        <c:crosses val="max"/>
        <c:crossBetween val="between"/>
      </c:valAx>
      <c:catAx>
        <c:axId val="91909504"/>
        <c:scaling>
          <c:orientation val="minMax"/>
        </c:scaling>
        <c:delete val="1"/>
        <c:axPos val="b"/>
        <c:majorTickMark val="out"/>
        <c:minorTickMark val="none"/>
        <c:tickLblPos val="nextTo"/>
        <c:crossAx val="91906048"/>
        <c:crosses val="autoZero"/>
        <c:auto val="1"/>
        <c:lblAlgn val="ctr"/>
        <c:lblOffset val="100"/>
        <c:noMultiLvlLbl val="0"/>
      </c:catAx>
    </c:plotArea>
    <c:legend>
      <c:legendPos val="r"/>
      <c:layout/>
      <c:overlay val="0"/>
    </c:legend>
    <c:plotVisOnly val="1"/>
    <c:dispBlanksAs val="gap"/>
    <c:showDLblsOverMax val="0"/>
  </c:chart>
  <c:spPr>
    <a:effectLst>
      <a:innerShdw blurRad="114300">
        <a:prstClr val="black"/>
      </a:innerShdw>
    </a:effectLst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7</xdr:row>
      <xdr:rowOff>0</xdr:rowOff>
    </xdr:from>
    <xdr:to>
      <xdr:col>6</xdr:col>
      <xdr:colOff>0</xdr:colOff>
      <xdr:row>9</xdr:row>
      <xdr:rowOff>0</xdr:rowOff>
    </xdr:to>
    <xdr:sp macro="[0]!목표값찾기" textlink="">
      <xdr:nvSpPr>
        <xdr:cNvPr id="2" name="빗면 1"/>
        <xdr:cNvSpPr/>
      </xdr:nvSpPr>
      <xdr:spPr>
        <a:xfrm>
          <a:off x="2924175" y="1466850"/>
          <a:ext cx="1704975" cy="4191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100"/>
            <a:t>목표값 찾기 실행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8</xdr:col>
      <xdr:colOff>0</xdr:colOff>
      <xdr:row>25</xdr:row>
      <xdr:rowOff>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438150</xdr:colOff>
          <xdr:row>0</xdr:row>
          <xdr:rowOff>76200</xdr:rowOff>
        </xdr:from>
        <xdr:to>
          <xdr:col>7</xdr:col>
          <xdr:colOff>685800</xdr:colOff>
          <xdr:row>2</xdr:row>
          <xdr:rowOff>85725</xdr:rowOff>
        </xdr:to>
        <xdr:sp macro="" textlink="">
          <xdr:nvSpPr>
            <xdr:cNvPr id="3073" name="cmd대출신청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김우경" refreshedDate="42977.92397152778" createdVersion="4" refreshedVersion="4" minRefreshableVersion="3" recordCount="25">
  <cacheSource type="worksheet">
    <worksheetSource ref="A1:D26" sheet="분석작업-1"/>
  </cacheSource>
  <cacheFields count="4">
    <cacheField name="성명" numFmtId="0">
      <sharedItems/>
    </cacheField>
    <cacheField name="직업" numFmtId="0">
      <sharedItems count="5">
        <s v="회사원"/>
        <s v="의사"/>
        <s v="자영업"/>
        <s v="공무원"/>
        <s v="변호사"/>
      </sharedItems>
    </cacheField>
    <cacheField name="지역" numFmtId="0">
      <sharedItems count="4">
        <s v="북부"/>
        <s v="남부"/>
        <s v="서부"/>
        <s v="동부"/>
      </sharedItems>
    </cacheField>
    <cacheField name="구매금액" numFmtId="5">
      <sharedItems containsSemiMixedTypes="0" containsString="0" containsNumber="1" containsInteger="1" minValue="1880000" maxValue="2932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">
  <r>
    <s v="서현명"/>
    <x v="0"/>
    <x v="0"/>
    <n v="9400000"/>
  </r>
  <r>
    <s v="고광섭"/>
    <x v="0"/>
    <x v="1"/>
    <n v="29320000"/>
  </r>
  <r>
    <s v="김은조"/>
    <x v="0"/>
    <x v="1"/>
    <n v="11750000"/>
  </r>
  <r>
    <s v="권창영"/>
    <x v="1"/>
    <x v="2"/>
    <n v="14570000"/>
  </r>
  <r>
    <s v="임종례"/>
    <x v="2"/>
    <x v="2"/>
    <n v="2350000"/>
  </r>
  <r>
    <s v="이찬진"/>
    <x v="2"/>
    <x v="3"/>
    <n v="9870000"/>
  </r>
  <r>
    <s v="채경찬"/>
    <x v="1"/>
    <x v="3"/>
    <n v="26790000"/>
  </r>
  <r>
    <s v="김숙자"/>
    <x v="2"/>
    <x v="3"/>
    <n v="7050000"/>
  </r>
  <r>
    <s v="홍민국"/>
    <x v="0"/>
    <x v="2"/>
    <n v="11750000"/>
  </r>
  <r>
    <s v="배진찬"/>
    <x v="2"/>
    <x v="0"/>
    <n v="23970000"/>
  </r>
  <r>
    <s v="정종수"/>
    <x v="3"/>
    <x v="2"/>
    <n v="26320000"/>
  </r>
  <r>
    <s v="이민준"/>
    <x v="0"/>
    <x v="0"/>
    <n v="8930000"/>
  </r>
  <r>
    <s v="오수진"/>
    <x v="0"/>
    <x v="0"/>
    <n v="5170000"/>
  </r>
  <r>
    <s v="이영민"/>
    <x v="1"/>
    <x v="3"/>
    <n v="7050000"/>
  </r>
  <r>
    <s v="강진구"/>
    <x v="3"/>
    <x v="0"/>
    <n v="9870000"/>
  </r>
  <r>
    <s v="김현민"/>
    <x v="1"/>
    <x v="2"/>
    <n v="1880000"/>
  </r>
  <r>
    <s v="배종숙"/>
    <x v="0"/>
    <x v="0"/>
    <n v="11750000"/>
  </r>
  <r>
    <s v="이영숙"/>
    <x v="3"/>
    <x v="0"/>
    <n v="5640000"/>
  </r>
  <r>
    <s v="강동희"/>
    <x v="1"/>
    <x v="3"/>
    <n v="5640000"/>
  </r>
  <r>
    <s v="김영민"/>
    <x v="1"/>
    <x v="1"/>
    <n v="7990000"/>
  </r>
  <r>
    <s v="명노찬"/>
    <x v="4"/>
    <x v="1"/>
    <n v="16450000"/>
  </r>
  <r>
    <s v="박지원"/>
    <x v="2"/>
    <x v="2"/>
    <n v="10810000"/>
  </r>
  <r>
    <s v="윤선중"/>
    <x v="1"/>
    <x v="0"/>
    <n v="16920000"/>
  </r>
  <r>
    <s v="이성국"/>
    <x v="0"/>
    <x v="3"/>
    <n v="2350000"/>
  </r>
  <r>
    <s v="유현민"/>
    <x v="2"/>
    <x v="2"/>
    <n v="1175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3" cacheId="40" dataOnRows="1" applyNumberFormats="0" applyBorderFormats="0" applyFontFormats="0" applyPatternFormats="0" applyAlignmentFormats="0" applyWidthHeightFormats="1" dataCaption="값" missingCaption="*" updatedVersion="4" minRefreshableVersion="3" useAutoFormatting="1" colGrandTotals="0" itemPrintTitles="1" createdVersion="4" indent="0" compact="0" outline="1" outlineData="1" compactData="0" multipleFieldFilters="0">
  <location ref="F2:K20" firstHeaderRow="1" firstDataRow="2" firstDataCol="2"/>
  <pivotFields count="4">
    <pivotField compact="0" showAll="0"/>
    <pivotField axis="axisRow" compact="0" showAll="0">
      <items count="6">
        <item x="3"/>
        <item x="4"/>
        <item x="1"/>
        <item x="2"/>
        <item x="0"/>
        <item t="default"/>
      </items>
    </pivotField>
    <pivotField axis="axisCol" compact="0" showAll="0">
      <items count="5">
        <item x="1"/>
        <item x="3"/>
        <item x="0"/>
        <item x="2"/>
        <item t="default"/>
      </items>
    </pivotField>
    <pivotField dataField="1" compact="0" numFmtId="5" showAll="0"/>
  </pivotFields>
  <rowFields count="2">
    <field x="1"/>
    <field x="-2"/>
  </rowFields>
  <rowItems count="17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>
      <x v="3"/>
    </i>
    <i r="1">
      <x/>
    </i>
    <i r="1" i="1">
      <x v="1"/>
    </i>
    <i>
      <x v="4"/>
    </i>
    <i r="1">
      <x/>
    </i>
    <i r="1" i="1">
      <x v="1"/>
    </i>
    <i t="grand">
      <x/>
    </i>
    <i t="grand" i="1">
      <x/>
    </i>
  </rowItems>
  <colFields count="1">
    <field x="2"/>
  </colFields>
  <colItems count="4">
    <i>
      <x/>
    </i>
    <i>
      <x v="1"/>
    </i>
    <i>
      <x v="2"/>
    </i>
    <i>
      <x v="3"/>
    </i>
  </colItems>
  <dataFields count="2">
    <dataField name="합계 : 구매금액" fld="3" baseField="1" baseItem="1" numFmtId="41"/>
    <dataField name="평균 : 구매금액2" fld="3" subtotal="average" baseField="1" baseItem="0" numFmtId="41"/>
  </dataFields>
  <pivotTableStyleInfo name="PivotStyleMedium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MS Access Database_Query" connectionId="1" autoFormatId="16" applyNumberFormats="0" applyBorderFormats="0" applyFontFormats="0" applyPatternFormats="0" applyAlignmentFormats="0" applyWidthHeightFormats="0">
  <queryTableRefresh nextId="7">
    <queryTableFields count="6">
      <queryTableField id="1" name="성명" tableColumnId="1"/>
      <queryTableField id="2" name="가입일" tableColumnId="2"/>
      <queryTableField id="3" name="직업" tableColumnId="3"/>
      <queryTableField id="4" name="지역" tableColumnId="4"/>
      <queryTableField id="5" name="구매건수" tableColumnId="5"/>
      <queryTableField id="6" name="구매금액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표_MS_Access_Database_Query" displayName="표_MS_Access_Database_Query" ref="B2:G10" tableType="queryTable" totalsRowShown="0">
  <autoFilter ref="B2:G10"/>
  <tableColumns count="6">
    <tableColumn id="1" uniqueName="1" name="성명" queryTableFieldId="1"/>
    <tableColumn id="2" uniqueName="2" name="가입일" queryTableFieldId="2" dataDxfId="2"/>
    <tableColumn id="3" uniqueName="3" name="직업" queryTableFieldId="3"/>
    <tableColumn id="4" uniqueName="4" name="지역" queryTableFieldId="4"/>
    <tableColumn id="5" uniqueName="5" name="구매건수" queryTableFieldId="5"/>
    <tableColumn id="6" uniqueName="6" name="구매금액" queryTableField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G10"/>
  <sheetViews>
    <sheetView tabSelected="1" workbookViewId="0"/>
  </sheetViews>
  <sheetFormatPr defaultRowHeight="16.5" x14ac:dyDescent="0.3"/>
  <cols>
    <col min="2" max="2" width="7.5" bestFit="1" customWidth="1"/>
    <col min="3" max="3" width="15.5" bestFit="1" customWidth="1"/>
    <col min="4" max="5" width="7.5" bestFit="1" customWidth="1"/>
    <col min="6" max="7" width="11.25" bestFit="1" customWidth="1"/>
  </cols>
  <sheetData>
    <row r="2" spans="2:7" x14ac:dyDescent="0.3">
      <c r="B2" t="s">
        <v>144</v>
      </c>
      <c r="C2" t="s">
        <v>145</v>
      </c>
      <c r="D2" t="s">
        <v>125</v>
      </c>
      <c r="E2" t="s">
        <v>146</v>
      </c>
      <c r="F2" t="s">
        <v>147</v>
      </c>
      <c r="G2" t="s">
        <v>148</v>
      </c>
    </row>
    <row r="3" spans="2:7" x14ac:dyDescent="0.3">
      <c r="B3" t="s">
        <v>56</v>
      </c>
      <c r="C3" s="25">
        <v>42138</v>
      </c>
      <c r="D3" t="s">
        <v>15</v>
      </c>
      <c r="E3" t="s">
        <v>16</v>
      </c>
      <c r="F3">
        <v>19</v>
      </c>
      <c r="G3">
        <v>8930000</v>
      </c>
    </row>
    <row r="4" spans="2:7" x14ac:dyDescent="0.3">
      <c r="B4" t="s">
        <v>149</v>
      </c>
      <c r="C4" s="25">
        <v>42127</v>
      </c>
      <c r="D4" t="s">
        <v>34</v>
      </c>
      <c r="E4" t="s">
        <v>38</v>
      </c>
      <c r="F4">
        <v>21</v>
      </c>
      <c r="G4">
        <v>9870000</v>
      </c>
    </row>
    <row r="5" spans="2:7" x14ac:dyDescent="0.3">
      <c r="B5" t="s">
        <v>87</v>
      </c>
      <c r="C5" s="25">
        <v>42146</v>
      </c>
      <c r="D5" t="s">
        <v>34</v>
      </c>
      <c r="E5" t="s">
        <v>30</v>
      </c>
      <c r="F5">
        <v>23</v>
      </c>
      <c r="G5">
        <v>10810000</v>
      </c>
    </row>
    <row r="6" spans="2:7" x14ac:dyDescent="0.3">
      <c r="B6" t="s">
        <v>150</v>
      </c>
      <c r="C6" s="25">
        <v>42138</v>
      </c>
      <c r="D6" t="s">
        <v>34</v>
      </c>
      <c r="E6" t="s">
        <v>30</v>
      </c>
      <c r="F6">
        <v>25</v>
      </c>
      <c r="G6">
        <v>11750000</v>
      </c>
    </row>
    <row r="7" spans="2:7" x14ac:dyDescent="0.3">
      <c r="B7" t="s">
        <v>151</v>
      </c>
      <c r="C7" s="25">
        <v>42133</v>
      </c>
      <c r="D7" t="s">
        <v>29</v>
      </c>
      <c r="E7" t="s">
        <v>38</v>
      </c>
      <c r="F7">
        <v>15</v>
      </c>
      <c r="G7">
        <v>7050000</v>
      </c>
    </row>
    <row r="8" spans="2:7" x14ac:dyDescent="0.3">
      <c r="B8" t="s">
        <v>152</v>
      </c>
      <c r="C8" s="25">
        <v>42150</v>
      </c>
      <c r="D8" t="s">
        <v>29</v>
      </c>
      <c r="E8" t="s">
        <v>22</v>
      </c>
      <c r="F8">
        <v>17</v>
      </c>
      <c r="G8">
        <v>7990000</v>
      </c>
    </row>
    <row r="9" spans="2:7" x14ac:dyDescent="0.3">
      <c r="B9" t="s">
        <v>90</v>
      </c>
      <c r="C9" s="25">
        <v>42151</v>
      </c>
      <c r="D9" t="s">
        <v>29</v>
      </c>
      <c r="E9" t="s">
        <v>16</v>
      </c>
      <c r="F9">
        <v>36</v>
      </c>
      <c r="G9">
        <v>16920000</v>
      </c>
    </row>
    <row r="10" spans="2:7" x14ac:dyDescent="0.3">
      <c r="B10" t="s">
        <v>153</v>
      </c>
      <c r="C10" s="25">
        <v>42150</v>
      </c>
      <c r="D10" t="s">
        <v>29</v>
      </c>
      <c r="E10" t="s">
        <v>38</v>
      </c>
      <c r="F10">
        <v>57</v>
      </c>
      <c r="G10">
        <v>26790000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7"/>
  <sheetViews>
    <sheetView workbookViewId="0"/>
  </sheetViews>
  <sheetFormatPr defaultRowHeight="16.5" x14ac:dyDescent="0.3"/>
  <cols>
    <col min="2" max="2" width="7.375" bestFit="1" customWidth="1"/>
    <col min="3" max="3" width="12.5" bestFit="1" customWidth="1"/>
    <col min="4" max="4" width="16.25" bestFit="1" customWidth="1"/>
    <col min="5" max="6" width="7.75" customWidth="1"/>
    <col min="8" max="9" width="15.25" bestFit="1" customWidth="1"/>
    <col min="11" max="11" width="12.375" bestFit="1" customWidth="1"/>
    <col min="15" max="15" width="10.5" bestFit="1" customWidth="1"/>
  </cols>
  <sheetData>
    <row r="1" spans="1:11" x14ac:dyDescent="0.3">
      <c r="A1" t="s">
        <v>0</v>
      </c>
    </row>
    <row r="2" spans="1:11" x14ac:dyDescent="0.3">
      <c r="A2" s="1" t="s">
        <v>1</v>
      </c>
      <c r="B2" s="1" t="s">
        <v>2</v>
      </c>
      <c r="C2" s="1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11</v>
      </c>
    </row>
    <row r="3" spans="1:11" x14ac:dyDescent="0.3">
      <c r="A3" s="1" t="s">
        <v>12</v>
      </c>
      <c r="B3" s="1" t="s">
        <v>13</v>
      </c>
      <c r="C3" s="3">
        <v>42087</v>
      </c>
      <c r="D3" s="1" t="s">
        <v>14</v>
      </c>
      <c r="E3" s="1" t="s">
        <v>15</v>
      </c>
      <c r="F3" s="1" t="s">
        <v>16</v>
      </c>
      <c r="G3" s="1">
        <v>20</v>
      </c>
      <c r="H3" s="4">
        <v>9400000</v>
      </c>
      <c r="I3" s="1" t="s">
        <v>17</v>
      </c>
      <c r="J3" s="1" t="s">
        <v>17</v>
      </c>
      <c r="K3" s="4" t="s">
        <v>18</v>
      </c>
    </row>
    <row r="4" spans="1:11" x14ac:dyDescent="0.3">
      <c r="A4" s="1" t="s">
        <v>19</v>
      </c>
      <c r="B4" s="1" t="s">
        <v>20</v>
      </c>
      <c r="C4" s="3">
        <v>42021</v>
      </c>
      <c r="D4" s="1" t="s">
        <v>21</v>
      </c>
      <c r="E4" s="1" t="s">
        <v>15</v>
      </c>
      <c r="F4" s="1" t="s">
        <v>22</v>
      </c>
      <c r="G4" s="1">
        <v>56</v>
      </c>
      <c r="H4" s="4">
        <v>29320000</v>
      </c>
      <c r="I4" s="4">
        <v>20000000</v>
      </c>
      <c r="J4" s="1">
        <v>5</v>
      </c>
      <c r="K4" s="4">
        <v>333333.33333333331</v>
      </c>
    </row>
    <row r="5" spans="1:11" x14ac:dyDescent="0.3">
      <c r="A5" s="1" t="s">
        <v>23</v>
      </c>
      <c r="B5" s="1" t="s">
        <v>24</v>
      </c>
      <c r="C5" s="3">
        <v>42211</v>
      </c>
      <c r="D5" s="1" t="s">
        <v>25</v>
      </c>
      <c r="E5" s="1" t="s">
        <v>15</v>
      </c>
      <c r="F5" s="1" t="s">
        <v>22</v>
      </c>
      <c r="G5" s="1">
        <v>25</v>
      </c>
      <c r="H5" s="4">
        <v>11750000</v>
      </c>
      <c r="I5" s="4">
        <v>10000000</v>
      </c>
      <c r="J5" s="1">
        <v>3</v>
      </c>
      <c r="K5" s="4">
        <v>277777.77777777775</v>
      </c>
    </row>
    <row r="6" spans="1:11" x14ac:dyDescent="0.3">
      <c r="A6" s="1" t="s">
        <v>26</v>
      </c>
      <c r="B6" s="1" t="s">
        <v>27</v>
      </c>
      <c r="C6" s="3">
        <v>42026</v>
      </c>
      <c r="D6" s="1" t="s">
        <v>28</v>
      </c>
      <c r="E6" s="1" t="s">
        <v>29</v>
      </c>
      <c r="F6" s="1" t="s">
        <v>30</v>
      </c>
      <c r="G6" s="1">
        <v>31</v>
      </c>
      <c r="H6" s="4">
        <v>14570000</v>
      </c>
      <c r="I6" s="4">
        <v>10000000</v>
      </c>
      <c r="J6" s="1">
        <v>4</v>
      </c>
      <c r="K6" s="4">
        <v>208333.33333333334</v>
      </c>
    </row>
    <row r="7" spans="1:11" x14ac:dyDescent="0.3">
      <c r="A7" s="1" t="s">
        <v>31</v>
      </c>
      <c r="B7" s="1" t="s">
        <v>32</v>
      </c>
      <c r="C7" s="3">
        <v>42015</v>
      </c>
      <c r="D7" s="1" t="s">
        <v>33</v>
      </c>
      <c r="E7" s="1" t="s">
        <v>34</v>
      </c>
      <c r="F7" s="1" t="s">
        <v>30</v>
      </c>
      <c r="G7" s="1">
        <v>5</v>
      </c>
      <c r="H7" s="4">
        <v>2350000</v>
      </c>
      <c r="I7" s="1" t="s">
        <v>17</v>
      </c>
      <c r="J7" s="1" t="s">
        <v>17</v>
      </c>
      <c r="K7" s="4" t="s">
        <v>18</v>
      </c>
    </row>
    <row r="8" spans="1:11" x14ac:dyDescent="0.3">
      <c r="A8" s="1" t="s">
        <v>35</v>
      </c>
      <c r="B8" s="1" t="s">
        <v>36</v>
      </c>
      <c r="C8" s="3">
        <v>42127</v>
      </c>
      <c r="D8" s="1" t="s">
        <v>37</v>
      </c>
      <c r="E8" s="1" t="s">
        <v>34</v>
      </c>
      <c r="F8" s="1" t="s">
        <v>38</v>
      </c>
      <c r="G8" s="1">
        <v>21</v>
      </c>
      <c r="H8" s="4">
        <v>9870000</v>
      </c>
      <c r="I8" s="4">
        <v>5000000</v>
      </c>
      <c r="J8" s="1">
        <v>3</v>
      </c>
      <c r="K8" s="4">
        <v>1250405.7798751711</v>
      </c>
    </row>
    <row r="9" spans="1:11" x14ac:dyDescent="0.3">
      <c r="A9" s="1" t="s">
        <v>39</v>
      </c>
      <c r="B9" s="1" t="s">
        <v>40</v>
      </c>
      <c r="C9" s="3">
        <v>42150</v>
      </c>
      <c r="D9" s="1" t="s">
        <v>41</v>
      </c>
      <c r="E9" s="1" t="s">
        <v>29</v>
      </c>
      <c r="F9" s="1" t="s">
        <v>38</v>
      </c>
      <c r="G9" s="1">
        <v>57</v>
      </c>
      <c r="H9" s="4">
        <v>26790000</v>
      </c>
      <c r="I9" s="4" t="s">
        <v>17</v>
      </c>
      <c r="J9" s="1" t="s">
        <v>17</v>
      </c>
      <c r="K9" s="4" t="s">
        <v>18</v>
      </c>
    </row>
    <row r="10" spans="1:11" x14ac:dyDescent="0.3">
      <c r="A10" s="1" t="s">
        <v>42</v>
      </c>
      <c r="B10" s="1" t="s">
        <v>43</v>
      </c>
      <c r="C10" s="3">
        <v>42007</v>
      </c>
      <c r="D10" s="1" t="s">
        <v>44</v>
      </c>
      <c r="E10" s="1" t="s">
        <v>34</v>
      </c>
      <c r="F10" s="1" t="s">
        <v>38</v>
      </c>
      <c r="G10" s="1">
        <v>15</v>
      </c>
      <c r="H10" s="4">
        <v>7050000</v>
      </c>
      <c r="I10" s="4">
        <v>5000000</v>
      </c>
      <c r="J10" s="1">
        <v>1</v>
      </c>
      <c r="K10" s="4">
        <v>429872.6529296388</v>
      </c>
    </row>
    <row r="11" spans="1:11" x14ac:dyDescent="0.3">
      <c r="A11" s="1" t="s">
        <v>45</v>
      </c>
      <c r="B11" s="1" t="s">
        <v>46</v>
      </c>
      <c r="C11" s="3">
        <v>42231</v>
      </c>
      <c r="D11" s="1" t="s">
        <v>47</v>
      </c>
      <c r="E11" s="1" t="s">
        <v>15</v>
      </c>
      <c r="F11" s="1" t="s">
        <v>30</v>
      </c>
      <c r="G11" s="1">
        <v>25</v>
      </c>
      <c r="H11" s="4">
        <v>11750000</v>
      </c>
      <c r="I11" s="4">
        <v>5000000</v>
      </c>
      <c r="J11" s="1">
        <v>2</v>
      </c>
      <c r="K11" s="4">
        <v>208333.33333333334</v>
      </c>
    </row>
    <row r="12" spans="1:11" x14ac:dyDescent="0.3">
      <c r="A12" s="1" t="s">
        <v>48</v>
      </c>
      <c r="B12" s="1" t="s">
        <v>49</v>
      </c>
      <c r="C12" s="3">
        <v>42082</v>
      </c>
      <c r="D12" s="1" t="s">
        <v>50</v>
      </c>
      <c r="E12" s="1" t="s">
        <v>34</v>
      </c>
      <c r="F12" s="1" t="s">
        <v>16</v>
      </c>
      <c r="G12" s="1">
        <v>51</v>
      </c>
      <c r="H12" s="4">
        <v>23970000</v>
      </c>
      <c r="I12" s="4">
        <v>15000000</v>
      </c>
      <c r="J12" s="1">
        <v>1</v>
      </c>
      <c r="K12" s="4">
        <v>1250000</v>
      </c>
    </row>
    <row r="13" spans="1:11" x14ac:dyDescent="0.3">
      <c r="A13" s="1" t="s">
        <v>51</v>
      </c>
      <c r="B13" s="1" t="s">
        <v>52</v>
      </c>
      <c r="C13" s="3">
        <v>42238</v>
      </c>
      <c r="D13" s="1" t="s">
        <v>53</v>
      </c>
      <c r="E13" s="1" t="s">
        <v>54</v>
      </c>
      <c r="F13" s="1" t="s">
        <v>30</v>
      </c>
      <c r="G13" s="1">
        <v>56</v>
      </c>
      <c r="H13" s="4">
        <v>26320000</v>
      </c>
      <c r="I13" s="4">
        <v>23000000</v>
      </c>
      <c r="J13" s="1">
        <v>5</v>
      </c>
      <c r="K13" s="4">
        <v>383333.33333333331</v>
      </c>
    </row>
    <row r="14" spans="1:11" x14ac:dyDescent="0.3">
      <c r="A14" s="1" t="s">
        <v>55</v>
      </c>
      <c r="B14" s="1" t="s">
        <v>56</v>
      </c>
      <c r="C14" s="3">
        <v>42138</v>
      </c>
      <c r="D14" s="1" t="s">
        <v>57</v>
      </c>
      <c r="E14" s="1" t="s">
        <v>15</v>
      </c>
      <c r="F14" s="1" t="s">
        <v>16</v>
      </c>
      <c r="G14" s="1">
        <v>19</v>
      </c>
      <c r="H14" s="4">
        <v>8930000</v>
      </c>
      <c r="I14" s="4">
        <v>10000000</v>
      </c>
      <c r="J14" s="1">
        <v>2</v>
      </c>
      <c r="K14" s="4">
        <v>416666.66666666669</v>
      </c>
    </row>
    <row r="15" spans="1:11" x14ac:dyDescent="0.3">
      <c r="A15" s="1" t="s">
        <v>58</v>
      </c>
      <c r="B15" s="1" t="s">
        <v>59</v>
      </c>
      <c r="C15" s="3">
        <v>42015</v>
      </c>
      <c r="D15" s="1" t="s">
        <v>60</v>
      </c>
      <c r="E15" s="1" t="s">
        <v>15</v>
      </c>
      <c r="F15" s="1" t="s">
        <v>16</v>
      </c>
      <c r="G15" s="1">
        <v>11</v>
      </c>
      <c r="H15" s="4">
        <v>5170000</v>
      </c>
      <c r="I15" s="4">
        <v>10000000</v>
      </c>
      <c r="J15" s="1">
        <v>3</v>
      </c>
      <c r="K15" s="4">
        <v>277777.77777777775</v>
      </c>
    </row>
    <row r="16" spans="1:11" x14ac:dyDescent="0.3">
      <c r="A16" s="1" t="s">
        <v>61</v>
      </c>
      <c r="B16" s="1" t="s">
        <v>62</v>
      </c>
      <c r="C16" s="3">
        <v>42133</v>
      </c>
      <c r="D16" s="1" t="s">
        <v>63</v>
      </c>
      <c r="E16" s="1" t="s">
        <v>29</v>
      </c>
      <c r="F16" s="1" t="s">
        <v>38</v>
      </c>
      <c r="G16" s="1">
        <v>15</v>
      </c>
      <c r="H16" s="4">
        <v>7050000</v>
      </c>
      <c r="I16" s="4">
        <v>5000000</v>
      </c>
      <c r="J16" s="1">
        <v>1</v>
      </c>
      <c r="K16" s="4">
        <v>416666.66666666669</v>
      </c>
    </row>
    <row r="17" spans="1:11" x14ac:dyDescent="0.3">
      <c r="A17" s="1" t="s">
        <v>64</v>
      </c>
      <c r="B17" s="1" t="s">
        <v>65</v>
      </c>
      <c r="C17" s="3">
        <v>42026</v>
      </c>
      <c r="D17" s="1" t="s">
        <v>66</v>
      </c>
      <c r="E17" s="1" t="s">
        <v>54</v>
      </c>
      <c r="F17" s="1" t="s">
        <v>16</v>
      </c>
      <c r="G17" s="1">
        <v>21</v>
      </c>
      <c r="H17" s="4">
        <v>9870000</v>
      </c>
      <c r="I17" s="1" t="s">
        <v>17</v>
      </c>
      <c r="J17" s="1" t="s">
        <v>17</v>
      </c>
      <c r="K17" s="4" t="s">
        <v>18</v>
      </c>
    </row>
    <row r="18" spans="1:11" x14ac:dyDescent="0.3">
      <c r="A18" s="1" t="s">
        <v>67</v>
      </c>
      <c r="B18" s="1" t="s">
        <v>68</v>
      </c>
      <c r="C18" s="3">
        <v>42150</v>
      </c>
      <c r="D18" s="1" t="s">
        <v>69</v>
      </c>
      <c r="E18" s="1" t="s">
        <v>29</v>
      </c>
      <c r="F18" s="1" t="s">
        <v>30</v>
      </c>
      <c r="G18" s="1">
        <v>4</v>
      </c>
      <c r="H18" s="4">
        <v>1880000</v>
      </c>
      <c r="I18" s="1" t="s">
        <v>17</v>
      </c>
      <c r="J18" s="1" t="s">
        <v>17</v>
      </c>
      <c r="K18" s="4" t="s">
        <v>18</v>
      </c>
    </row>
    <row r="19" spans="1:11" x14ac:dyDescent="0.3">
      <c r="A19" s="1" t="s">
        <v>70</v>
      </c>
      <c r="B19" s="1" t="s">
        <v>71</v>
      </c>
      <c r="C19" s="3">
        <v>42006</v>
      </c>
      <c r="D19" s="1" t="s">
        <v>72</v>
      </c>
      <c r="E19" s="1" t="s">
        <v>15</v>
      </c>
      <c r="F19" s="1" t="s">
        <v>16</v>
      </c>
      <c r="G19" s="1">
        <v>25</v>
      </c>
      <c r="H19" s="4">
        <v>11750000</v>
      </c>
      <c r="I19" s="4">
        <v>7000000</v>
      </c>
      <c r="J19" s="1">
        <v>2</v>
      </c>
      <c r="K19" s="4">
        <v>305847.3047148037</v>
      </c>
    </row>
    <row r="20" spans="1:11" x14ac:dyDescent="0.3">
      <c r="A20" s="1" t="s">
        <v>73</v>
      </c>
      <c r="B20" s="1" t="s">
        <v>74</v>
      </c>
      <c r="C20" s="3">
        <v>42205</v>
      </c>
      <c r="D20" s="1" t="s">
        <v>75</v>
      </c>
      <c r="E20" s="1" t="s">
        <v>54</v>
      </c>
      <c r="F20" s="1" t="s">
        <v>16</v>
      </c>
      <c r="G20" s="1">
        <v>12</v>
      </c>
      <c r="H20" s="4">
        <v>5640000</v>
      </c>
      <c r="I20" s="4">
        <v>5500000</v>
      </c>
      <c r="J20" s="1">
        <v>2</v>
      </c>
      <c r="K20" s="4">
        <v>242032.26869661073</v>
      </c>
    </row>
    <row r="21" spans="1:11" x14ac:dyDescent="0.3">
      <c r="A21" s="1" t="s">
        <v>76</v>
      </c>
      <c r="B21" s="1" t="s">
        <v>77</v>
      </c>
      <c r="C21" s="3">
        <v>42180</v>
      </c>
      <c r="D21" s="1" t="s">
        <v>78</v>
      </c>
      <c r="E21" s="1" t="s">
        <v>29</v>
      </c>
      <c r="F21" s="1" t="s">
        <v>38</v>
      </c>
      <c r="G21" s="1">
        <v>12</v>
      </c>
      <c r="H21" s="4">
        <v>5640000</v>
      </c>
      <c r="I21" s="4">
        <v>2000000</v>
      </c>
      <c r="J21" s="1">
        <v>4</v>
      </c>
      <c r="K21" s="4">
        <v>41666.666666666664</v>
      </c>
    </row>
    <row r="22" spans="1:11" x14ac:dyDescent="0.3">
      <c r="A22" s="1" t="s">
        <v>79</v>
      </c>
      <c r="B22" s="1" t="s">
        <v>80</v>
      </c>
      <c r="C22" s="3">
        <v>42150</v>
      </c>
      <c r="D22" s="1" t="s">
        <v>81</v>
      </c>
      <c r="E22" s="1" t="s">
        <v>29</v>
      </c>
      <c r="F22" s="1" t="s">
        <v>22</v>
      </c>
      <c r="G22" s="1">
        <v>17</v>
      </c>
      <c r="H22" s="4">
        <v>7990000</v>
      </c>
      <c r="I22" s="4">
        <v>10000000</v>
      </c>
      <c r="J22" s="1">
        <v>2</v>
      </c>
      <c r="K22" s="4">
        <v>416666.66666666669</v>
      </c>
    </row>
    <row r="23" spans="1:11" x14ac:dyDescent="0.3">
      <c r="A23" s="1" t="s">
        <v>82</v>
      </c>
      <c r="B23" s="1" t="s">
        <v>83</v>
      </c>
      <c r="C23" s="3">
        <v>42211</v>
      </c>
      <c r="D23" s="1" t="s">
        <v>84</v>
      </c>
      <c r="E23" s="1" t="s">
        <v>85</v>
      </c>
      <c r="F23" s="1" t="s">
        <v>22</v>
      </c>
      <c r="G23" s="1">
        <v>35</v>
      </c>
      <c r="H23" s="4">
        <v>16450000</v>
      </c>
      <c r="I23" s="4">
        <v>10000000</v>
      </c>
      <c r="J23" s="1">
        <v>3</v>
      </c>
      <c r="K23" s="4">
        <v>277777.77777777775</v>
      </c>
    </row>
    <row r="24" spans="1:11" x14ac:dyDescent="0.3">
      <c r="A24" s="1" t="s">
        <v>86</v>
      </c>
      <c r="B24" s="1" t="s">
        <v>87</v>
      </c>
      <c r="C24" s="3">
        <v>42146</v>
      </c>
      <c r="D24" s="1" t="s">
        <v>88</v>
      </c>
      <c r="E24" s="1" t="s">
        <v>34</v>
      </c>
      <c r="F24" s="1" t="s">
        <v>30</v>
      </c>
      <c r="G24" s="1">
        <v>23</v>
      </c>
      <c r="H24" s="4">
        <v>10810000</v>
      </c>
      <c r="I24" s="4">
        <v>10000000</v>
      </c>
      <c r="J24" s="1">
        <v>1</v>
      </c>
      <c r="K24" s="4">
        <v>833333.33333333337</v>
      </c>
    </row>
    <row r="25" spans="1:11" x14ac:dyDescent="0.3">
      <c r="A25" s="1" t="s">
        <v>89</v>
      </c>
      <c r="B25" s="1" t="s">
        <v>90</v>
      </c>
      <c r="C25" s="3">
        <v>42151</v>
      </c>
      <c r="D25" s="1" t="s">
        <v>91</v>
      </c>
      <c r="E25" s="1" t="s">
        <v>29</v>
      </c>
      <c r="F25" s="1" t="s">
        <v>16</v>
      </c>
      <c r="G25" s="1">
        <v>36</v>
      </c>
      <c r="H25" s="4">
        <v>16920000</v>
      </c>
      <c r="I25" s="4">
        <v>7000000</v>
      </c>
      <c r="J25" s="1">
        <v>1</v>
      </c>
      <c r="K25" s="4">
        <v>583333.33333333337</v>
      </c>
    </row>
    <row r="26" spans="1:11" x14ac:dyDescent="0.3">
      <c r="A26" s="1" t="s">
        <v>92</v>
      </c>
      <c r="B26" s="1" t="s">
        <v>93</v>
      </c>
      <c r="C26" s="3">
        <v>42198</v>
      </c>
      <c r="D26" s="1" t="s">
        <v>94</v>
      </c>
      <c r="E26" s="1" t="s">
        <v>15</v>
      </c>
      <c r="F26" s="1" t="s">
        <v>38</v>
      </c>
      <c r="G26" s="1">
        <v>5</v>
      </c>
      <c r="H26" s="4">
        <v>2350000</v>
      </c>
      <c r="I26" s="4">
        <v>2000000</v>
      </c>
      <c r="J26" s="1">
        <v>4</v>
      </c>
      <c r="K26" s="4">
        <v>41666.666666666664</v>
      </c>
    </row>
    <row r="27" spans="1:11" x14ac:dyDescent="0.3">
      <c r="A27" s="1" t="s">
        <v>95</v>
      </c>
      <c r="B27" s="1" t="s">
        <v>96</v>
      </c>
      <c r="C27" s="3">
        <v>42138</v>
      </c>
      <c r="D27" s="1" t="s">
        <v>97</v>
      </c>
      <c r="E27" s="1" t="s">
        <v>34</v>
      </c>
      <c r="F27" s="1" t="s">
        <v>30</v>
      </c>
      <c r="G27" s="1">
        <v>25</v>
      </c>
      <c r="H27" s="4">
        <v>11750000</v>
      </c>
      <c r="I27" s="4">
        <v>10000000</v>
      </c>
      <c r="J27" s="1">
        <v>5</v>
      </c>
      <c r="K27" s="4">
        <v>166666.66666666666</v>
      </c>
    </row>
    <row r="29" spans="1:11" x14ac:dyDescent="0.3">
      <c r="A29" s="5" t="s">
        <v>1</v>
      </c>
      <c r="B29" s="5" t="s">
        <v>98</v>
      </c>
    </row>
    <row r="30" spans="1:11" x14ac:dyDescent="0.3">
      <c r="A30" s="5" t="s">
        <v>99</v>
      </c>
      <c r="B30" t="b">
        <f>RANK(G3,$G$3:$G$27)&lt;=10</f>
        <v>0</v>
      </c>
    </row>
    <row r="31" spans="1:11" x14ac:dyDescent="0.3">
      <c r="A31" s="5"/>
    </row>
    <row r="33" spans="1:11" x14ac:dyDescent="0.3">
      <c r="A33" s="1" t="s">
        <v>1</v>
      </c>
      <c r="B33" s="1" t="s">
        <v>2</v>
      </c>
      <c r="C33" s="1" t="s">
        <v>3</v>
      </c>
      <c r="D33" s="2" t="s">
        <v>4</v>
      </c>
      <c r="E33" s="2" t="s">
        <v>5</v>
      </c>
      <c r="F33" s="2" t="s">
        <v>6</v>
      </c>
      <c r="G33" s="2" t="s">
        <v>7</v>
      </c>
      <c r="H33" s="2" t="s">
        <v>8</v>
      </c>
      <c r="I33" s="2" t="s">
        <v>9</v>
      </c>
      <c r="J33" s="2" t="s">
        <v>10</v>
      </c>
      <c r="K33" s="2" t="s">
        <v>11</v>
      </c>
    </row>
    <row r="34" spans="1:11" x14ac:dyDescent="0.3">
      <c r="A34" s="1" t="s">
        <v>19</v>
      </c>
      <c r="B34" s="1" t="s">
        <v>20</v>
      </c>
      <c r="C34" s="3">
        <v>42021</v>
      </c>
      <c r="D34" s="1" t="s">
        <v>21</v>
      </c>
      <c r="E34" s="1" t="s">
        <v>15</v>
      </c>
      <c r="F34" s="1" t="s">
        <v>22</v>
      </c>
      <c r="G34" s="1">
        <v>56</v>
      </c>
      <c r="H34" s="4">
        <v>29320000</v>
      </c>
      <c r="I34" s="4">
        <v>20000000</v>
      </c>
      <c r="J34" s="1">
        <v>5</v>
      </c>
      <c r="K34" s="4">
        <v>333333.33333333331</v>
      </c>
    </row>
    <row r="35" spans="1:11" x14ac:dyDescent="0.3">
      <c r="A35" s="1" t="s">
        <v>23</v>
      </c>
      <c r="B35" s="1" t="s">
        <v>24</v>
      </c>
      <c r="C35" s="3">
        <v>42211</v>
      </c>
      <c r="D35" s="1" t="s">
        <v>25</v>
      </c>
      <c r="E35" s="1" t="s">
        <v>15</v>
      </c>
      <c r="F35" s="1" t="s">
        <v>22</v>
      </c>
      <c r="G35" s="1">
        <v>25</v>
      </c>
      <c r="H35" s="4">
        <v>11750000</v>
      </c>
      <c r="I35" s="4">
        <v>10000000</v>
      </c>
      <c r="J35" s="1">
        <v>3</v>
      </c>
      <c r="K35" s="4">
        <v>277777.77777777775</v>
      </c>
    </row>
    <row r="36" spans="1:11" x14ac:dyDescent="0.3">
      <c r="A36" s="1" t="s">
        <v>45</v>
      </c>
      <c r="B36" s="1" t="s">
        <v>46</v>
      </c>
      <c r="C36" s="3">
        <v>42231</v>
      </c>
      <c r="D36" s="1" t="s">
        <v>47</v>
      </c>
      <c r="E36" s="1" t="s">
        <v>15</v>
      </c>
      <c r="F36" s="1" t="s">
        <v>30</v>
      </c>
      <c r="G36" s="1">
        <v>25</v>
      </c>
      <c r="H36" s="4">
        <v>11750000</v>
      </c>
      <c r="I36" s="4">
        <v>5000000</v>
      </c>
      <c r="J36" s="1">
        <v>2</v>
      </c>
      <c r="K36" s="4">
        <v>208333.33333333334</v>
      </c>
    </row>
    <row r="37" spans="1:11" x14ac:dyDescent="0.3">
      <c r="A37" s="1" t="s">
        <v>70</v>
      </c>
      <c r="B37" s="1" t="s">
        <v>71</v>
      </c>
      <c r="C37" s="3">
        <v>42006</v>
      </c>
      <c r="D37" s="1" t="s">
        <v>72</v>
      </c>
      <c r="E37" s="1" t="s">
        <v>15</v>
      </c>
      <c r="F37" s="1" t="s">
        <v>16</v>
      </c>
      <c r="G37" s="1">
        <v>25</v>
      </c>
      <c r="H37" s="4">
        <v>11750000</v>
      </c>
      <c r="I37" s="4">
        <v>7000000</v>
      </c>
      <c r="J37" s="1">
        <v>2</v>
      </c>
      <c r="K37" s="4">
        <v>305847.3047148037</v>
      </c>
    </row>
  </sheetData>
  <phoneticPr fontId="2" type="noConversion"/>
  <conditionalFormatting sqref="A3:K27">
    <cfRule type="expression" dxfId="1" priority="1">
      <formula>AND(OR($F3="동부",$F3="서부"),$H3&gt;=AVERAGE($H$3:$H$27))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6"/>
  <sheetViews>
    <sheetView workbookViewId="0"/>
  </sheetViews>
  <sheetFormatPr defaultRowHeight="16.5" x14ac:dyDescent="0.3"/>
  <cols>
    <col min="2" max="2" width="7.125" bestFit="1" customWidth="1"/>
    <col min="3" max="3" width="14.125" bestFit="1" customWidth="1"/>
    <col min="4" max="4" width="12.375" bestFit="1" customWidth="1"/>
    <col min="5" max="5" width="9" bestFit="1" customWidth="1"/>
    <col min="6" max="7" width="13.5" bestFit="1" customWidth="1"/>
    <col min="8" max="8" width="13.875" bestFit="1" customWidth="1"/>
    <col min="9" max="9" width="12" customWidth="1"/>
    <col min="10" max="10" width="9" customWidth="1"/>
    <col min="11" max="11" width="10.625" bestFit="1" customWidth="1"/>
  </cols>
  <sheetData>
    <row r="1" spans="1:10" x14ac:dyDescent="0.3">
      <c r="A1" t="s">
        <v>0</v>
      </c>
    </row>
    <row r="2" spans="1:10" x14ac:dyDescent="0.3">
      <c r="A2" s="1" t="s">
        <v>1</v>
      </c>
      <c r="B2" s="1" t="s">
        <v>2</v>
      </c>
      <c r="C2" s="2" t="s">
        <v>4</v>
      </c>
      <c r="D2" s="6" t="s">
        <v>5</v>
      </c>
      <c r="E2" s="1" t="s">
        <v>7</v>
      </c>
      <c r="F2" s="1" t="s">
        <v>8</v>
      </c>
      <c r="G2" s="1" t="s">
        <v>9</v>
      </c>
      <c r="H2" s="1" t="s">
        <v>10</v>
      </c>
      <c r="I2" s="6" t="s">
        <v>11</v>
      </c>
      <c r="J2" s="6" t="s">
        <v>100</v>
      </c>
    </row>
    <row r="3" spans="1:10" x14ac:dyDescent="0.3">
      <c r="A3" s="1" t="s">
        <v>35</v>
      </c>
      <c r="B3" s="1" t="s">
        <v>36</v>
      </c>
      <c r="C3" s="1" t="s">
        <v>37</v>
      </c>
      <c r="D3" s="1" t="str">
        <f>VLOOKUP(LEFT(A3,2),$A$32:$B$36,2,FALSE)&amp;"("&amp;CHOOSE(MOD(RIGHT(A3,3),4)+1,"동부","서부","남부","북부")&amp;")"</f>
        <v>자영업(동부)</v>
      </c>
      <c r="E3" s="1">
        <v>21</v>
      </c>
      <c r="F3" s="4">
        <v>9870000</v>
      </c>
      <c r="G3" s="4">
        <v>5000000</v>
      </c>
      <c r="H3" s="1">
        <v>3</v>
      </c>
      <c r="I3" s="4">
        <f ca="1">IFERROR(PMT(OFFSET($B$31,MATCH(LEFT(A3,2),$A$32:$A$36,0),H3)/12,H3*12,-G3),"대출없음")</f>
        <v>150979.50902155141</v>
      </c>
      <c r="J3" s="1" t="str">
        <f>fn비고(E3,F3)</f>
        <v/>
      </c>
    </row>
    <row r="4" spans="1:10" x14ac:dyDescent="0.3">
      <c r="A4" s="1" t="s">
        <v>70</v>
      </c>
      <c r="B4" s="1" t="s">
        <v>40</v>
      </c>
      <c r="C4" s="1" t="s">
        <v>72</v>
      </c>
      <c r="D4" s="1" t="str">
        <f t="shared" ref="D4:D26" si="0">VLOOKUP(LEFT(A4,2),$A$32:$B$36,2,FALSE)&amp;"("&amp;CHOOSE(MOD(RIGHT(A4,3),4)+1,"동부","서부","남부","북부")&amp;")"</f>
        <v>회사원(북부)</v>
      </c>
      <c r="E4" s="1">
        <v>25</v>
      </c>
      <c r="F4" s="4">
        <v>11750000</v>
      </c>
      <c r="G4" s="4">
        <v>7000000</v>
      </c>
      <c r="H4" s="1">
        <v>2</v>
      </c>
      <c r="I4" s="4">
        <f t="shared" ref="I4:I27" ca="1" si="1">IFERROR(PMT(OFFSET($B$31,MATCH(LEFT(A4,2),$A$32:$A$36,0),H4)/12,H4*12,-G4),"대출없음")</f>
        <v>308041.06925023685</v>
      </c>
      <c r="J4" s="1" t="str">
        <f>fn비고(E4,F4)</f>
        <v/>
      </c>
    </row>
    <row r="5" spans="1:10" x14ac:dyDescent="0.3">
      <c r="A5" s="1" t="s">
        <v>73</v>
      </c>
      <c r="B5" s="1" t="s">
        <v>32</v>
      </c>
      <c r="C5" s="1" t="s">
        <v>75</v>
      </c>
      <c r="D5" s="1" t="str">
        <f t="shared" si="0"/>
        <v>공무원(북부)</v>
      </c>
      <c r="E5" s="1">
        <v>12</v>
      </c>
      <c r="F5" s="4">
        <v>5640000</v>
      </c>
      <c r="G5" s="4">
        <v>5500000</v>
      </c>
      <c r="H5" s="1">
        <v>2</v>
      </c>
      <c r="I5" s="4">
        <f t="shared" ca="1" si="1"/>
        <v>240308.5965616304</v>
      </c>
      <c r="J5" s="1" t="str">
        <f t="shared" ref="J4:J27" si="2">fn비고(E5,F5)</f>
        <v/>
      </c>
    </row>
    <row r="6" spans="1:10" x14ac:dyDescent="0.3">
      <c r="A6" s="1" t="s">
        <v>76</v>
      </c>
      <c r="B6" s="1" t="s">
        <v>52</v>
      </c>
      <c r="C6" s="1" t="s">
        <v>78</v>
      </c>
      <c r="D6" s="1" t="str">
        <f t="shared" si="0"/>
        <v>의사(동부)</v>
      </c>
      <c r="E6" s="1">
        <v>12</v>
      </c>
      <c r="F6" s="4">
        <v>5640000</v>
      </c>
      <c r="G6" s="4">
        <v>2000000</v>
      </c>
      <c r="H6" s="1">
        <v>4</v>
      </c>
      <c r="I6" s="4">
        <f t="shared" ca="1" si="1"/>
        <v>45427.096547435249</v>
      </c>
      <c r="J6" s="1" t="str">
        <f t="shared" si="2"/>
        <v/>
      </c>
    </row>
    <row r="7" spans="1:10" x14ac:dyDescent="0.3">
      <c r="A7" s="1" t="s">
        <v>42</v>
      </c>
      <c r="B7" s="1" t="s">
        <v>13</v>
      </c>
      <c r="C7" s="1" t="s">
        <v>44</v>
      </c>
      <c r="D7" s="1" t="str">
        <f t="shared" si="0"/>
        <v>자영업(동부)</v>
      </c>
      <c r="E7" s="1">
        <v>15</v>
      </c>
      <c r="F7" s="4">
        <v>7050000</v>
      </c>
      <c r="G7" s="4">
        <v>5000000</v>
      </c>
      <c r="H7" s="1">
        <v>1</v>
      </c>
      <c r="I7" s="4">
        <f t="shared" ca="1" si="1"/>
        <v>431482.08480140701</v>
      </c>
      <c r="J7" s="1" t="str">
        <f t="shared" si="2"/>
        <v/>
      </c>
    </row>
    <row r="8" spans="1:10" x14ac:dyDescent="0.3">
      <c r="A8" s="1" t="s">
        <v>39</v>
      </c>
      <c r="B8" s="1" t="s">
        <v>20</v>
      </c>
      <c r="C8" s="1" t="s">
        <v>41</v>
      </c>
      <c r="D8" s="1" t="str">
        <f t="shared" si="0"/>
        <v>의사(동부)</v>
      </c>
      <c r="E8" s="1">
        <v>57</v>
      </c>
      <c r="F8" s="4">
        <v>26790000</v>
      </c>
      <c r="G8" s="4" t="s">
        <v>17</v>
      </c>
      <c r="H8" s="1" t="s">
        <v>17</v>
      </c>
      <c r="I8" s="4" t="str">
        <f t="shared" ca="1" si="1"/>
        <v>대출없음</v>
      </c>
      <c r="J8" s="1" t="str">
        <f t="shared" si="2"/>
        <v>VIP고객</v>
      </c>
    </row>
    <row r="9" spans="1:10" x14ac:dyDescent="0.3">
      <c r="A9" s="1" t="s">
        <v>31</v>
      </c>
      <c r="B9" s="1" t="s">
        <v>24</v>
      </c>
      <c r="C9" s="1" t="s">
        <v>33</v>
      </c>
      <c r="D9" s="1" t="str">
        <f t="shared" si="0"/>
        <v>자영업(서부)</v>
      </c>
      <c r="E9" s="1">
        <v>5</v>
      </c>
      <c r="F9" s="4">
        <v>2350000</v>
      </c>
      <c r="G9" s="4" t="s">
        <v>17</v>
      </c>
      <c r="H9" s="1" t="s">
        <v>17</v>
      </c>
      <c r="I9" s="4" t="str">
        <f t="shared" ca="1" si="1"/>
        <v>대출없음</v>
      </c>
      <c r="J9" s="1" t="str">
        <f t="shared" si="2"/>
        <v/>
      </c>
    </row>
    <row r="10" spans="1:10" x14ac:dyDescent="0.3">
      <c r="A10" s="1" t="s">
        <v>51</v>
      </c>
      <c r="B10" s="1" t="s">
        <v>27</v>
      </c>
      <c r="C10" s="1" t="s">
        <v>53</v>
      </c>
      <c r="D10" s="1" t="str">
        <f t="shared" si="0"/>
        <v>공무원(서부)</v>
      </c>
      <c r="E10" s="1">
        <v>56</v>
      </c>
      <c r="F10" s="4">
        <v>26320000</v>
      </c>
      <c r="G10" s="4">
        <v>23000000</v>
      </c>
      <c r="H10" s="1">
        <v>5</v>
      </c>
      <c r="I10" s="4">
        <f t="shared" ca="1" si="1"/>
        <v>417380.91270801274</v>
      </c>
      <c r="J10" s="1" t="str">
        <f t="shared" si="2"/>
        <v>VIP고객</v>
      </c>
    </row>
    <row r="11" spans="1:10" x14ac:dyDescent="0.3">
      <c r="A11" s="1" t="s">
        <v>82</v>
      </c>
      <c r="B11" s="1" t="s">
        <v>80</v>
      </c>
      <c r="C11" s="1" t="s">
        <v>84</v>
      </c>
      <c r="D11" s="1" t="str">
        <f t="shared" si="0"/>
        <v>변호사(남부)</v>
      </c>
      <c r="E11" s="1">
        <v>35</v>
      </c>
      <c r="F11" s="4">
        <v>16450000</v>
      </c>
      <c r="G11" s="4">
        <v>10000000</v>
      </c>
      <c r="H11" s="1">
        <v>3</v>
      </c>
      <c r="I11" s="4">
        <f t="shared" ca="1" si="1"/>
        <v>298811.84143792582</v>
      </c>
      <c r="J11" s="1" t="str">
        <f t="shared" si="2"/>
        <v/>
      </c>
    </row>
    <row r="12" spans="1:10" x14ac:dyDescent="0.3">
      <c r="A12" s="1" t="s">
        <v>89</v>
      </c>
      <c r="B12" s="1" t="s">
        <v>83</v>
      </c>
      <c r="C12" s="1" t="s">
        <v>91</v>
      </c>
      <c r="D12" s="1" t="str">
        <f t="shared" si="0"/>
        <v>의사(북부)</v>
      </c>
      <c r="E12" s="1">
        <v>36</v>
      </c>
      <c r="F12" s="4">
        <v>16920000</v>
      </c>
      <c r="G12" s="4">
        <v>7000000</v>
      </c>
      <c r="H12" s="1">
        <v>1</v>
      </c>
      <c r="I12" s="4">
        <f t="shared" ca="1" si="1"/>
        <v>601821.71410148533</v>
      </c>
      <c r="J12" s="1" t="str">
        <f t="shared" si="2"/>
        <v/>
      </c>
    </row>
    <row r="13" spans="1:10" x14ac:dyDescent="0.3">
      <c r="A13" s="1" t="s">
        <v>61</v>
      </c>
      <c r="B13" s="1" t="s">
        <v>87</v>
      </c>
      <c r="C13" s="1" t="s">
        <v>63</v>
      </c>
      <c r="D13" s="1" t="str">
        <f t="shared" si="0"/>
        <v>의사(동부)</v>
      </c>
      <c r="E13" s="1">
        <v>15</v>
      </c>
      <c r="F13" s="4">
        <v>7050000</v>
      </c>
      <c r="G13" s="4">
        <v>5000000</v>
      </c>
      <c r="H13" s="1">
        <v>1</v>
      </c>
      <c r="I13" s="4">
        <f t="shared" ca="1" si="1"/>
        <v>429872.65292963234</v>
      </c>
      <c r="J13" s="1" t="str">
        <f t="shared" si="2"/>
        <v/>
      </c>
    </row>
    <row r="14" spans="1:10" x14ac:dyDescent="0.3">
      <c r="A14" s="1" t="s">
        <v>95</v>
      </c>
      <c r="B14" s="1" t="s">
        <v>90</v>
      </c>
      <c r="C14" s="1" t="s">
        <v>97</v>
      </c>
      <c r="D14" s="1" t="str">
        <f t="shared" si="0"/>
        <v>자영업(서부)</v>
      </c>
      <c r="E14" s="1">
        <v>25</v>
      </c>
      <c r="F14" s="4">
        <v>11750000</v>
      </c>
      <c r="G14" s="4">
        <v>10000000</v>
      </c>
      <c r="H14" s="1">
        <v>5</v>
      </c>
      <c r="I14" s="4">
        <f t="shared" ca="1" si="1"/>
        <v>186430.1924151665</v>
      </c>
      <c r="J14" s="1" t="str">
        <f t="shared" si="2"/>
        <v/>
      </c>
    </row>
    <row r="15" spans="1:10" x14ac:dyDescent="0.3">
      <c r="A15" s="1" t="s">
        <v>19</v>
      </c>
      <c r="B15" s="1" t="s">
        <v>56</v>
      </c>
      <c r="C15" s="1" t="s">
        <v>21</v>
      </c>
      <c r="D15" s="1" t="str">
        <f t="shared" si="0"/>
        <v>회사원(남부)</v>
      </c>
      <c r="E15" s="1">
        <v>56</v>
      </c>
      <c r="F15" s="4">
        <v>29320000</v>
      </c>
      <c r="G15" s="4">
        <v>20000000</v>
      </c>
      <c r="H15" s="1">
        <v>5</v>
      </c>
      <c r="I15" s="4">
        <f t="shared" ca="1" si="1"/>
        <v>366528.09309015982</v>
      </c>
      <c r="J15" s="1" t="str">
        <f t="shared" si="2"/>
        <v>VIP고객</v>
      </c>
    </row>
    <row r="16" spans="1:10" x14ac:dyDescent="0.3">
      <c r="A16" s="1" t="s">
        <v>67</v>
      </c>
      <c r="B16" s="1" t="s">
        <v>59</v>
      </c>
      <c r="C16" s="1" t="s">
        <v>69</v>
      </c>
      <c r="D16" s="1" t="str">
        <f t="shared" si="0"/>
        <v>의사(서부)</v>
      </c>
      <c r="E16" s="1">
        <v>4</v>
      </c>
      <c r="F16" s="4">
        <v>1880000</v>
      </c>
      <c r="G16" s="1" t="s">
        <v>17</v>
      </c>
      <c r="H16" s="1" t="s">
        <v>17</v>
      </c>
      <c r="I16" s="4" t="str">
        <f t="shared" ca="1" si="1"/>
        <v>대출없음</v>
      </c>
      <c r="J16" s="1" t="str">
        <f t="shared" si="2"/>
        <v/>
      </c>
    </row>
    <row r="17" spans="1:10" x14ac:dyDescent="0.3">
      <c r="A17" s="1" t="s">
        <v>45</v>
      </c>
      <c r="B17" s="1" t="s">
        <v>62</v>
      </c>
      <c r="C17" s="1" t="s">
        <v>47</v>
      </c>
      <c r="D17" s="1" t="str">
        <f t="shared" si="0"/>
        <v>회사원(서부)</v>
      </c>
      <c r="E17" s="1">
        <v>25</v>
      </c>
      <c r="F17" s="4">
        <v>11750000</v>
      </c>
      <c r="G17" s="4">
        <v>5000000</v>
      </c>
      <c r="H17" s="1">
        <v>2</v>
      </c>
      <c r="I17" s="4">
        <f t="shared" ca="1" si="1"/>
        <v>220029.33517874058</v>
      </c>
      <c r="J17" s="1" t="str">
        <f t="shared" si="2"/>
        <v/>
      </c>
    </row>
    <row r="18" spans="1:10" x14ac:dyDescent="0.3">
      <c r="A18" s="1" t="s">
        <v>48</v>
      </c>
      <c r="B18" s="1" t="s">
        <v>65</v>
      </c>
      <c r="C18" s="1" t="s">
        <v>50</v>
      </c>
      <c r="D18" s="1" t="str">
        <f t="shared" si="0"/>
        <v>자영업(북부)</v>
      </c>
      <c r="E18" s="1">
        <v>51</v>
      </c>
      <c r="F18" s="4">
        <v>23970000</v>
      </c>
      <c r="G18" s="4">
        <v>15000000</v>
      </c>
      <c r="H18" s="1">
        <v>1</v>
      </c>
      <c r="I18" s="4">
        <f t="shared" ca="1" si="1"/>
        <v>1294446.254404221</v>
      </c>
      <c r="J18" s="1" t="str">
        <f t="shared" si="2"/>
        <v>VIP고객</v>
      </c>
    </row>
    <row r="19" spans="1:10" x14ac:dyDescent="0.3">
      <c r="A19" s="1" t="s">
        <v>92</v>
      </c>
      <c r="B19" s="1" t="s">
        <v>68</v>
      </c>
      <c r="C19" s="1" t="s">
        <v>94</v>
      </c>
      <c r="D19" s="1" t="str">
        <f t="shared" si="0"/>
        <v>회사원(동부)</v>
      </c>
      <c r="E19" s="1">
        <v>5</v>
      </c>
      <c r="F19" s="4">
        <v>2350000</v>
      </c>
      <c r="G19" s="4">
        <v>2000000</v>
      </c>
      <c r="H19" s="1">
        <v>4</v>
      </c>
      <c r="I19" s="4">
        <f t="shared" ca="1" si="1"/>
        <v>45337.323944525269</v>
      </c>
      <c r="J19" s="1" t="str">
        <f t="shared" si="2"/>
        <v/>
      </c>
    </row>
    <row r="20" spans="1:10" x14ac:dyDescent="0.3">
      <c r="A20" s="1" t="s">
        <v>12</v>
      </c>
      <c r="B20" s="1" t="s">
        <v>71</v>
      </c>
      <c r="C20" s="1" t="s">
        <v>14</v>
      </c>
      <c r="D20" s="1" t="str">
        <f t="shared" si="0"/>
        <v>회사원(북부)</v>
      </c>
      <c r="E20" s="1">
        <v>20</v>
      </c>
      <c r="F20" s="4">
        <v>9400000</v>
      </c>
      <c r="G20" s="1" t="s">
        <v>17</v>
      </c>
      <c r="H20" s="1" t="s">
        <v>17</v>
      </c>
      <c r="I20" s="4" t="str">
        <f t="shared" ca="1" si="1"/>
        <v>대출없음</v>
      </c>
      <c r="J20" s="1" t="str">
        <f t="shared" si="2"/>
        <v/>
      </c>
    </row>
    <row r="21" spans="1:10" x14ac:dyDescent="0.3">
      <c r="A21" s="1" t="s">
        <v>23</v>
      </c>
      <c r="B21" s="1" t="s">
        <v>74</v>
      </c>
      <c r="C21" s="1" t="s">
        <v>25</v>
      </c>
      <c r="D21" s="1" t="str">
        <f t="shared" si="0"/>
        <v>회사원(남부)</v>
      </c>
      <c r="E21" s="1">
        <v>25</v>
      </c>
      <c r="F21" s="4">
        <v>11750000</v>
      </c>
      <c r="G21" s="4">
        <v>10000000</v>
      </c>
      <c r="H21" s="1">
        <v>3</v>
      </c>
      <c r="I21" s="4">
        <f t="shared" ca="1" si="1"/>
        <v>297469.2447837558</v>
      </c>
      <c r="J21" s="1" t="str">
        <f t="shared" si="2"/>
        <v/>
      </c>
    </row>
    <row r="22" spans="1:10" x14ac:dyDescent="0.3">
      <c r="A22" s="1" t="s">
        <v>26</v>
      </c>
      <c r="B22" s="1" t="s">
        <v>77</v>
      </c>
      <c r="C22" s="1" t="s">
        <v>28</v>
      </c>
      <c r="D22" s="1" t="str">
        <f t="shared" si="0"/>
        <v>의사(서부)</v>
      </c>
      <c r="E22" s="1">
        <v>31</v>
      </c>
      <c r="F22" s="4">
        <v>14570000</v>
      </c>
      <c r="G22" s="4">
        <v>10000000</v>
      </c>
      <c r="H22" s="1">
        <v>4</v>
      </c>
      <c r="I22" s="4">
        <f t="shared" ca="1" si="1"/>
        <v>227135.48273717627</v>
      </c>
      <c r="J22" s="1" t="str">
        <f t="shared" si="2"/>
        <v/>
      </c>
    </row>
    <row r="23" spans="1:10" x14ac:dyDescent="0.3">
      <c r="A23" s="1" t="s">
        <v>79</v>
      </c>
      <c r="B23" s="1" t="s">
        <v>43</v>
      </c>
      <c r="C23" s="1" t="s">
        <v>81</v>
      </c>
      <c r="D23" s="1" t="str">
        <f t="shared" si="0"/>
        <v>의사(남부)</v>
      </c>
      <c r="E23" s="1">
        <v>17</v>
      </c>
      <c r="F23" s="4">
        <v>7990000</v>
      </c>
      <c r="G23" s="4">
        <v>10000000</v>
      </c>
      <c r="H23" s="1">
        <v>2</v>
      </c>
      <c r="I23" s="4">
        <f t="shared" ca="1" si="1"/>
        <v>440058.67035748117</v>
      </c>
      <c r="J23" s="1" t="str">
        <f t="shared" si="2"/>
        <v/>
      </c>
    </row>
    <row r="24" spans="1:10" x14ac:dyDescent="0.3">
      <c r="A24" s="1" t="s">
        <v>86</v>
      </c>
      <c r="B24" s="1" t="s">
        <v>46</v>
      </c>
      <c r="C24" s="1" t="s">
        <v>88</v>
      </c>
      <c r="D24" s="1" t="str">
        <f t="shared" si="0"/>
        <v>자영업(서부)</v>
      </c>
      <c r="E24" s="1">
        <v>23</v>
      </c>
      <c r="F24" s="4">
        <v>10810000</v>
      </c>
      <c r="G24" s="4">
        <v>10000000</v>
      </c>
      <c r="H24" s="1">
        <v>1</v>
      </c>
      <c r="I24" s="4">
        <f t="shared" ca="1" si="1"/>
        <v>862964.16960281401</v>
      </c>
      <c r="J24" s="1" t="str">
        <f t="shared" si="2"/>
        <v/>
      </c>
    </row>
    <row r="25" spans="1:10" x14ac:dyDescent="0.3">
      <c r="A25" s="1" t="s">
        <v>55</v>
      </c>
      <c r="B25" s="1" t="s">
        <v>49</v>
      </c>
      <c r="C25" s="1" t="s">
        <v>57</v>
      </c>
      <c r="D25" s="1" t="str">
        <f t="shared" si="0"/>
        <v>회사원(북부)</v>
      </c>
      <c r="E25" s="1">
        <v>19</v>
      </c>
      <c r="F25" s="4">
        <v>8930000</v>
      </c>
      <c r="G25" s="4">
        <v>10000000</v>
      </c>
      <c r="H25" s="1">
        <v>2</v>
      </c>
      <c r="I25" s="4">
        <f t="shared" ca="1" si="1"/>
        <v>440058.67035748117</v>
      </c>
      <c r="J25" s="1" t="str">
        <f t="shared" si="2"/>
        <v/>
      </c>
    </row>
    <row r="26" spans="1:10" x14ac:dyDescent="0.3">
      <c r="A26" s="1" t="s">
        <v>58</v>
      </c>
      <c r="B26" s="1" t="s">
        <v>93</v>
      </c>
      <c r="C26" s="1" t="s">
        <v>60</v>
      </c>
      <c r="D26" s="1" t="str">
        <f t="shared" si="0"/>
        <v>회사원(북부)</v>
      </c>
      <c r="E26" s="1">
        <v>11</v>
      </c>
      <c r="F26" s="4">
        <v>5170000</v>
      </c>
      <c r="G26" s="4">
        <v>10000000</v>
      </c>
      <c r="H26" s="1">
        <v>3</v>
      </c>
      <c r="I26" s="4">
        <f t="shared" ca="1" si="1"/>
        <v>297469.2447837558</v>
      </c>
      <c r="J26" s="1" t="str">
        <f t="shared" si="2"/>
        <v/>
      </c>
    </row>
    <row r="27" spans="1:10" x14ac:dyDescent="0.3">
      <c r="A27" s="1" t="s">
        <v>64</v>
      </c>
      <c r="B27" s="1" t="s">
        <v>96</v>
      </c>
      <c r="C27" s="1" t="s">
        <v>66</v>
      </c>
      <c r="D27" s="1" t="str">
        <f>VLOOKUP(LEFT(A27,2),$A$32:$B$36,2,FALSE)&amp;"("&amp;CHOOSE(MOD(RIGHT(A27,3),4)+1,"동부","서부","남부","북부")&amp;")"</f>
        <v>공무원(북부)</v>
      </c>
      <c r="E27" s="1">
        <v>21</v>
      </c>
      <c r="F27" s="4">
        <v>9870000</v>
      </c>
      <c r="G27" s="1" t="s">
        <v>17</v>
      </c>
      <c r="H27" s="1" t="s">
        <v>17</v>
      </c>
      <c r="I27" s="4" t="str">
        <f t="shared" ca="1" si="1"/>
        <v>대출없음</v>
      </c>
      <c r="J27" s="1" t="str">
        <f t="shared" si="2"/>
        <v/>
      </c>
    </row>
    <row r="28" spans="1:10" x14ac:dyDescent="0.3">
      <c r="F28" s="7"/>
    </row>
    <row r="29" spans="1:10" x14ac:dyDescent="0.3">
      <c r="A29" s="8" t="s">
        <v>101</v>
      </c>
    </row>
    <row r="30" spans="1:10" ht="16.5" customHeight="1" x14ac:dyDescent="0.3">
      <c r="C30" s="31" t="s">
        <v>10</v>
      </c>
      <c r="D30" s="31"/>
      <c r="E30" s="31"/>
      <c r="F30" s="31"/>
      <c r="G30" s="31"/>
      <c r="H30" s="32" t="s">
        <v>102</v>
      </c>
      <c r="I30" s="34" t="s">
        <v>103</v>
      </c>
      <c r="J30" s="35"/>
    </row>
    <row r="31" spans="1:10" x14ac:dyDescent="0.3">
      <c r="A31" s="1" t="s">
        <v>104</v>
      </c>
      <c r="B31" s="9" t="s">
        <v>5</v>
      </c>
      <c r="C31" s="1">
        <v>1</v>
      </c>
      <c r="D31" s="1">
        <v>2</v>
      </c>
      <c r="E31" s="1">
        <v>3</v>
      </c>
      <c r="F31" s="1">
        <v>4</v>
      </c>
      <c r="G31" s="1">
        <v>5</v>
      </c>
      <c r="H31" s="33"/>
      <c r="I31" s="36"/>
      <c r="J31" s="37"/>
    </row>
    <row r="32" spans="1:10" x14ac:dyDescent="0.3">
      <c r="A32" s="10" t="s">
        <v>105</v>
      </c>
      <c r="B32" s="10" t="s">
        <v>106</v>
      </c>
      <c r="C32" s="11">
        <v>6.5000000000000002E-2</v>
      </c>
      <c r="D32" s="11">
        <v>0.06</v>
      </c>
      <c r="E32" s="11">
        <v>5.5E-2</v>
      </c>
      <c r="F32" s="11">
        <v>0.05</v>
      </c>
      <c r="G32" s="11">
        <v>4.4999999999999998E-2</v>
      </c>
      <c r="H32" s="12" t="str">
        <f t="array" ref="H32">TEXT(MAXA(IF(LEFT($A$3:$A$27,2)=A32,$G$3:$G$27)),"\#,###원")</f>
        <v>₩15,000,000원</v>
      </c>
      <c r="I32" s="31" t="str">
        <f>INDEX(A3:J27,MATCH(MIN(E3:E27),E3:E27,0),2)</f>
        <v>오수진</v>
      </c>
      <c r="J32" s="31"/>
    </row>
    <row r="33" spans="1:8" x14ac:dyDescent="0.3">
      <c r="A33" s="1" t="s">
        <v>107</v>
      </c>
      <c r="B33" s="1" t="s">
        <v>108</v>
      </c>
      <c r="C33" s="11">
        <v>5.5E-2</v>
      </c>
      <c r="D33" s="11">
        <v>5.2999999999999999E-2</v>
      </c>
      <c r="E33" s="11">
        <v>4.4999999999999998E-2</v>
      </c>
      <c r="F33" s="11">
        <v>4.2000000000000003E-2</v>
      </c>
      <c r="G33" s="11">
        <v>3.7999999999999999E-2</v>
      </c>
      <c r="H33" s="12" t="str">
        <f t="array" ref="H33">TEXT(MAXA(IF(LEFT($A$3:$A$27,2)=A33,$G$3:$G$27)),"\#,###원")</f>
        <v>₩20,000,000원</v>
      </c>
    </row>
    <row r="34" spans="1:8" x14ac:dyDescent="0.3">
      <c r="A34" s="1" t="s">
        <v>109</v>
      </c>
      <c r="B34" s="1" t="s">
        <v>110</v>
      </c>
      <c r="C34" s="11">
        <v>0.05</v>
      </c>
      <c r="D34" s="11">
        <v>4.5999999999999999E-2</v>
      </c>
      <c r="E34" s="11">
        <v>4.2000000000000003E-2</v>
      </c>
      <c r="F34" s="11">
        <v>3.7999999999999999E-2</v>
      </c>
      <c r="G34" s="11">
        <v>3.4000000000000002E-2</v>
      </c>
      <c r="H34" s="12" t="str">
        <f t="array" ref="H34">TEXT(MAXA(IF(LEFT($A$3:$A$27,2)=A34,$G$3:$G$27)),"\#,###원")</f>
        <v>₩23,000,000원</v>
      </c>
    </row>
    <row r="35" spans="1:8" x14ac:dyDescent="0.3">
      <c r="A35" s="1" t="s">
        <v>111</v>
      </c>
      <c r="B35" s="1" t="s">
        <v>112</v>
      </c>
      <c r="C35" s="11">
        <v>5.8000000000000003E-2</v>
      </c>
      <c r="D35" s="11">
        <v>5.2999999999999999E-2</v>
      </c>
      <c r="E35" s="11">
        <v>4.8000000000000001E-2</v>
      </c>
      <c r="F35" s="11">
        <v>4.2999999999999997E-2</v>
      </c>
      <c r="G35" s="11">
        <v>3.7999999999999999E-2</v>
      </c>
      <c r="H35" s="12" t="str">
        <f t="array" ref="H35">TEXT(MAXA(IF(LEFT($A$3:$A$27,2)=A35,$G$3:$G$27)),"\#,###원")</f>
        <v>₩10,000,000원</v>
      </c>
    </row>
    <row r="36" spans="1:8" x14ac:dyDescent="0.3">
      <c r="A36" s="1" t="s">
        <v>113</v>
      </c>
      <c r="B36" s="1" t="s">
        <v>114</v>
      </c>
      <c r="C36" s="11">
        <v>5.8000000000000003E-2</v>
      </c>
      <c r="D36" s="11">
        <v>5.2999999999999999E-2</v>
      </c>
      <c r="E36" s="11">
        <v>4.8000000000000001E-2</v>
      </c>
      <c r="F36" s="11">
        <v>4.2999999999999997E-2</v>
      </c>
      <c r="G36" s="11">
        <v>3.7999999999999999E-2</v>
      </c>
      <c r="H36" s="12" t="str">
        <f t="array" ref="H36">TEXT(MAXA(IF(LEFT($A$3:$A$27,2)=A36,$G$3:$G$27)),"\#,###원")</f>
        <v>₩10,000,000원</v>
      </c>
    </row>
  </sheetData>
  <mergeCells count="4">
    <mergeCell ref="C30:G30"/>
    <mergeCell ref="H30:H31"/>
    <mergeCell ref="I30:J31"/>
    <mergeCell ref="I32:J32"/>
  </mergeCells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6"/>
  <sheetViews>
    <sheetView workbookViewId="0"/>
  </sheetViews>
  <sheetFormatPr defaultRowHeight="16.5" x14ac:dyDescent="0.3"/>
  <cols>
    <col min="1" max="1" width="9.625" customWidth="1"/>
    <col min="2" max="2" width="12.375" customWidth="1"/>
    <col min="3" max="4" width="13.625" customWidth="1"/>
    <col min="6" max="6" width="7.5" customWidth="1"/>
    <col min="7" max="7" width="16" bestFit="1" customWidth="1"/>
    <col min="8" max="8" width="13.625" customWidth="1"/>
    <col min="9" max="11" width="13.625" bestFit="1" customWidth="1"/>
  </cols>
  <sheetData>
    <row r="1" spans="1:11" x14ac:dyDescent="0.3">
      <c r="A1" s="26" t="s">
        <v>144</v>
      </c>
      <c r="B1" s="26" t="s">
        <v>125</v>
      </c>
      <c r="C1" s="26" t="s">
        <v>146</v>
      </c>
      <c r="D1" s="26" t="s">
        <v>148</v>
      </c>
    </row>
    <row r="2" spans="1:11" x14ac:dyDescent="0.3">
      <c r="A2" s="27" t="s">
        <v>154</v>
      </c>
      <c r="B2" s="27" t="s">
        <v>15</v>
      </c>
      <c r="C2" s="27" t="s">
        <v>16</v>
      </c>
      <c r="D2" s="28">
        <v>9400000</v>
      </c>
      <c r="H2" s="29" t="s">
        <v>146</v>
      </c>
    </row>
    <row r="3" spans="1:11" x14ac:dyDescent="0.3">
      <c r="A3" s="27" t="s">
        <v>155</v>
      </c>
      <c r="B3" s="27" t="s">
        <v>15</v>
      </c>
      <c r="C3" s="27" t="s">
        <v>22</v>
      </c>
      <c r="D3" s="28">
        <v>29320000</v>
      </c>
      <c r="F3" s="29" t="s">
        <v>125</v>
      </c>
      <c r="G3" s="29" t="s">
        <v>172</v>
      </c>
      <c r="H3" t="s">
        <v>22</v>
      </c>
      <c r="I3" t="s">
        <v>38</v>
      </c>
      <c r="J3" t="s">
        <v>16</v>
      </c>
      <c r="K3" t="s">
        <v>30</v>
      </c>
    </row>
    <row r="4" spans="1:11" x14ac:dyDescent="0.3">
      <c r="A4" s="27" t="s">
        <v>156</v>
      </c>
      <c r="B4" s="27" t="s">
        <v>15</v>
      </c>
      <c r="C4" s="27" t="s">
        <v>22</v>
      </c>
      <c r="D4" s="28">
        <v>11750000</v>
      </c>
      <c r="F4" t="s">
        <v>54</v>
      </c>
      <c r="H4" s="30"/>
      <c r="I4" s="30"/>
      <c r="J4" s="30"/>
      <c r="K4" s="30"/>
    </row>
    <row r="5" spans="1:11" x14ac:dyDescent="0.3">
      <c r="A5" s="27" t="s">
        <v>157</v>
      </c>
      <c r="B5" s="27" t="s">
        <v>29</v>
      </c>
      <c r="C5" s="27" t="s">
        <v>30</v>
      </c>
      <c r="D5" s="28">
        <v>14570000</v>
      </c>
      <c r="G5" t="s">
        <v>170</v>
      </c>
      <c r="H5" s="30" t="s">
        <v>175</v>
      </c>
      <c r="I5" s="30" t="s">
        <v>175</v>
      </c>
      <c r="J5" s="30">
        <v>15510000</v>
      </c>
      <c r="K5" s="30">
        <v>26320000</v>
      </c>
    </row>
    <row r="6" spans="1:11" x14ac:dyDescent="0.3">
      <c r="A6" s="27" t="s">
        <v>158</v>
      </c>
      <c r="B6" s="27" t="s">
        <v>34</v>
      </c>
      <c r="C6" s="27" t="s">
        <v>30</v>
      </c>
      <c r="D6" s="28">
        <v>2350000</v>
      </c>
      <c r="G6" t="s">
        <v>171</v>
      </c>
      <c r="H6" s="30" t="s">
        <v>175</v>
      </c>
      <c r="I6" s="30" t="s">
        <v>175</v>
      </c>
      <c r="J6" s="30">
        <v>7755000</v>
      </c>
      <c r="K6" s="30">
        <v>26320000</v>
      </c>
    </row>
    <row r="7" spans="1:11" x14ac:dyDescent="0.3">
      <c r="A7" s="27" t="s">
        <v>149</v>
      </c>
      <c r="B7" s="27" t="s">
        <v>34</v>
      </c>
      <c r="C7" s="27" t="s">
        <v>38</v>
      </c>
      <c r="D7" s="28">
        <v>9870000</v>
      </c>
      <c r="F7" t="s">
        <v>85</v>
      </c>
      <c r="H7" s="30"/>
      <c r="I7" s="30"/>
      <c r="J7" s="30"/>
      <c r="K7" s="30"/>
    </row>
    <row r="8" spans="1:11" x14ac:dyDescent="0.3">
      <c r="A8" s="27" t="s">
        <v>153</v>
      </c>
      <c r="B8" s="27" t="s">
        <v>29</v>
      </c>
      <c r="C8" s="27" t="s">
        <v>38</v>
      </c>
      <c r="D8" s="28">
        <v>26790000</v>
      </c>
      <c r="G8" t="s">
        <v>170</v>
      </c>
      <c r="H8" s="30">
        <v>16450000</v>
      </c>
      <c r="I8" s="30" t="s">
        <v>175</v>
      </c>
      <c r="J8" s="30" t="s">
        <v>175</v>
      </c>
      <c r="K8" s="30" t="s">
        <v>175</v>
      </c>
    </row>
    <row r="9" spans="1:11" x14ac:dyDescent="0.3">
      <c r="A9" s="27" t="s">
        <v>159</v>
      </c>
      <c r="B9" s="27" t="s">
        <v>34</v>
      </c>
      <c r="C9" s="27" t="s">
        <v>38</v>
      </c>
      <c r="D9" s="28">
        <v>7050000</v>
      </c>
      <c r="G9" t="s">
        <v>171</v>
      </c>
      <c r="H9" s="30">
        <v>16450000</v>
      </c>
      <c r="I9" s="30" t="s">
        <v>175</v>
      </c>
      <c r="J9" s="30" t="s">
        <v>175</v>
      </c>
      <c r="K9" s="30" t="s">
        <v>175</v>
      </c>
    </row>
    <row r="10" spans="1:11" x14ac:dyDescent="0.3">
      <c r="A10" s="27" t="s">
        <v>160</v>
      </c>
      <c r="B10" s="27" t="s">
        <v>15</v>
      </c>
      <c r="C10" s="27" t="s">
        <v>30</v>
      </c>
      <c r="D10" s="28">
        <v>11750000</v>
      </c>
      <c r="F10" t="s">
        <v>29</v>
      </c>
      <c r="H10" s="30"/>
      <c r="I10" s="30"/>
      <c r="J10" s="30"/>
      <c r="K10" s="30"/>
    </row>
    <row r="11" spans="1:11" x14ac:dyDescent="0.3">
      <c r="A11" s="27" t="s">
        <v>161</v>
      </c>
      <c r="B11" s="27" t="s">
        <v>34</v>
      </c>
      <c r="C11" s="27" t="s">
        <v>16</v>
      </c>
      <c r="D11" s="28">
        <v>23970000</v>
      </c>
      <c r="G11" t="s">
        <v>170</v>
      </c>
      <c r="H11" s="30">
        <v>7990000</v>
      </c>
      <c r="I11" s="30">
        <v>39480000</v>
      </c>
      <c r="J11" s="30">
        <v>16920000</v>
      </c>
      <c r="K11" s="30">
        <v>16450000</v>
      </c>
    </row>
    <row r="12" spans="1:11" x14ac:dyDescent="0.3">
      <c r="A12" s="27" t="s">
        <v>162</v>
      </c>
      <c r="B12" s="27" t="s">
        <v>54</v>
      </c>
      <c r="C12" s="27" t="s">
        <v>30</v>
      </c>
      <c r="D12" s="28">
        <v>26320000</v>
      </c>
      <c r="G12" t="s">
        <v>171</v>
      </c>
      <c r="H12" s="30">
        <v>7990000</v>
      </c>
      <c r="I12" s="30">
        <v>13160000</v>
      </c>
      <c r="J12" s="30">
        <v>16920000</v>
      </c>
      <c r="K12" s="30">
        <v>8225000</v>
      </c>
    </row>
    <row r="13" spans="1:11" x14ac:dyDescent="0.3">
      <c r="A13" s="27" t="s">
        <v>56</v>
      </c>
      <c r="B13" s="27" t="s">
        <v>15</v>
      </c>
      <c r="C13" s="27" t="s">
        <v>16</v>
      </c>
      <c r="D13" s="28">
        <v>8930000</v>
      </c>
      <c r="F13" t="s">
        <v>34</v>
      </c>
      <c r="H13" s="30"/>
      <c r="I13" s="30"/>
      <c r="J13" s="30"/>
      <c r="K13" s="30"/>
    </row>
    <row r="14" spans="1:11" x14ac:dyDescent="0.3">
      <c r="A14" s="27" t="s">
        <v>59</v>
      </c>
      <c r="B14" s="27" t="s">
        <v>15</v>
      </c>
      <c r="C14" s="27" t="s">
        <v>16</v>
      </c>
      <c r="D14" s="28">
        <v>5170000</v>
      </c>
      <c r="G14" t="s">
        <v>170</v>
      </c>
      <c r="H14" s="30" t="s">
        <v>175</v>
      </c>
      <c r="I14" s="30">
        <v>16920000</v>
      </c>
      <c r="J14" s="30">
        <v>23970000</v>
      </c>
      <c r="K14" s="30">
        <v>24910000</v>
      </c>
    </row>
    <row r="15" spans="1:11" x14ac:dyDescent="0.3">
      <c r="A15" s="27" t="s">
        <v>151</v>
      </c>
      <c r="B15" s="27" t="s">
        <v>29</v>
      </c>
      <c r="C15" s="27" t="s">
        <v>38</v>
      </c>
      <c r="D15" s="28">
        <v>7050000</v>
      </c>
      <c r="G15" t="s">
        <v>171</v>
      </c>
      <c r="H15" s="30" t="s">
        <v>175</v>
      </c>
      <c r="I15" s="30">
        <v>8460000</v>
      </c>
      <c r="J15" s="30">
        <v>23970000</v>
      </c>
      <c r="K15" s="30">
        <v>8303333.333333333</v>
      </c>
    </row>
    <row r="16" spans="1:11" x14ac:dyDescent="0.3">
      <c r="A16" s="27" t="s">
        <v>163</v>
      </c>
      <c r="B16" s="27" t="s">
        <v>54</v>
      </c>
      <c r="C16" s="27" t="s">
        <v>16</v>
      </c>
      <c r="D16" s="28">
        <v>9870000</v>
      </c>
      <c r="F16" t="s">
        <v>15</v>
      </c>
      <c r="H16" s="30"/>
      <c r="I16" s="30"/>
      <c r="J16" s="30"/>
      <c r="K16" s="30"/>
    </row>
    <row r="17" spans="1:11" x14ac:dyDescent="0.3">
      <c r="A17" s="27" t="s">
        <v>164</v>
      </c>
      <c r="B17" s="27" t="s">
        <v>29</v>
      </c>
      <c r="C17" s="27" t="s">
        <v>30</v>
      </c>
      <c r="D17" s="28">
        <v>1880000</v>
      </c>
      <c r="G17" t="s">
        <v>170</v>
      </c>
      <c r="H17" s="30">
        <v>41070000</v>
      </c>
      <c r="I17" s="30">
        <v>2350000</v>
      </c>
      <c r="J17" s="30">
        <v>35250000</v>
      </c>
      <c r="K17" s="30">
        <v>11750000</v>
      </c>
    </row>
    <row r="18" spans="1:11" x14ac:dyDescent="0.3">
      <c r="A18" s="27" t="s">
        <v>165</v>
      </c>
      <c r="B18" s="27" t="s">
        <v>15</v>
      </c>
      <c r="C18" s="27" t="s">
        <v>16</v>
      </c>
      <c r="D18" s="28">
        <v>11750000</v>
      </c>
      <c r="G18" t="s">
        <v>171</v>
      </c>
      <c r="H18" s="30">
        <v>20535000</v>
      </c>
      <c r="I18" s="30">
        <v>2350000</v>
      </c>
      <c r="J18" s="30">
        <v>8812500</v>
      </c>
      <c r="K18" s="30">
        <v>11750000</v>
      </c>
    </row>
    <row r="19" spans="1:11" x14ac:dyDescent="0.3">
      <c r="A19" s="27" t="s">
        <v>166</v>
      </c>
      <c r="B19" s="27" t="s">
        <v>54</v>
      </c>
      <c r="C19" s="27" t="s">
        <v>16</v>
      </c>
      <c r="D19" s="28">
        <v>5640000</v>
      </c>
      <c r="F19" t="s">
        <v>173</v>
      </c>
      <c r="H19" s="30">
        <v>65510000</v>
      </c>
      <c r="I19" s="30">
        <v>58750000</v>
      </c>
      <c r="J19" s="30">
        <v>91650000</v>
      </c>
      <c r="K19" s="30">
        <v>79430000</v>
      </c>
    </row>
    <row r="20" spans="1:11" x14ac:dyDescent="0.3">
      <c r="A20" s="27" t="s">
        <v>167</v>
      </c>
      <c r="B20" s="27" t="s">
        <v>29</v>
      </c>
      <c r="C20" s="27" t="s">
        <v>38</v>
      </c>
      <c r="D20" s="28">
        <v>5640000</v>
      </c>
      <c r="F20" t="s">
        <v>174</v>
      </c>
      <c r="H20" s="30">
        <v>16377500</v>
      </c>
      <c r="I20" s="30">
        <v>9791666.666666666</v>
      </c>
      <c r="J20" s="30">
        <v>11456250</v>
      </c>
      <c r="K20" s="30">
        <v>11347142.857142856</v>
      </c>
    </row>
    <row r="21" spans="1:11" x14ac:dyDescent="0.3">
      <c r="A21" s="27" t="s">
        <v>152</v>
      </c>
      <c r="B21" s="27" t="s">
        <v>29</v>
      </c>
      <c r="C21" s="27" t="s">
        <v>22</v>
      </c>
      <c r="D21" s="28">
        <v>7990000</v>
      </c>
    </row>
    <row r="22" spans="1:11" x14ac:dyDescent="0.3">
      <c r="A22" s="27" t="s">
        <v>168</v>
      </c>
      <c r="B22" s="27" t="s">
        <v>85</v>
      </c>
      <c r="C22" s="27" t="s">
        <v>22</v>
      </c>
      <c r="D22" s="28">
        <v>16450000</v>
      </c>
    </row>
    <row r="23" spans="1:11" x14ac:dyDescent="0.3">
      <c r="A23" s="27" t="s">
        <v>87</v>
      </c>
      <c r="B23" s="27" t="s">
        <v>34</v>
      </c>
      <c r="C23" s="27" t="s">
        <v>30</v>
      </c>
      <c r="D23" s="28">
        <v>10810000</v>
      </c>
    </row>
    <row r="24" spans="1:11" x14ac:dyDescent="0.3">
      <c r="A24" s="27" t="s">
        <v>90</v>
      </c>
      <c r="B24" s="27" t="s">
        <v>29</v>
      </c>
      <c r="C24" s="27" t="s">
        <v>16</v>
      </c>
      <c r="D24" s="28">
        <v>16920000</v>
      </c>
    </row>
    <row r="25" spans="1:11" x14ac:dyDescent="0.3">
      <c r="A25" s="27" t="s">
        <v>169</v>
      </c>
      <c r="B25" s="27" t="s">
        <v>15</v>
      </c>
      <c r="C25" s="27" t="s">
        <v>38</v>
      </c>
      <c r="D25" s="28">
        <v>2350000</v>
      </c>
    </row>
    <row r="26" spans="1:11" x14ac:dyDescent="0.3">
      <c r="A26" s="27" t="s">
        <v>150</v>
      </c>
      <c r="B26" s="27" t="s">
        <v>34</v>
      </c>
      <c r="C26" s="27" t="s">
        <v>30</v>
      </c>
      <c r="D26" s="28">
        <v>11750000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F6"/>
  <sheetViews>
    <sheetView workbookViewId="0"/>
  </sheetViews>
  <sheetFormatPr defaultRowHeight="16.5" x14ac:dyDescent="0.3"/>
  <cols>
    <col min="1" max="1" width="4.25" customWidth="1"/>
    <col min="2" max="2" width="9.25" customWidth="1"/>
    <col min="3" max="3" width="11.875" bestFit="1" customWidth="1"/>
    <col min="4" max="4" width="13" customWidth="1"/>
    <col min="5" max="5" width="10" customWidth="1"/>
    <col min="6" max="6" width="12.375" bestFit="1" customWidth="1"/>
  </cols>
  <sheetData>
    <row r="2" spans="2:6" x14ac:dyDescent="0.3">
      <c r="B2" t="s">
        <v>115</v>
      </c>
    </row>
    <row r="3" spans="2:6" x14ac:dyDescent="0.3">
      <c r="B3" s="1" t="s">
        <v>116</v>
      </c>
      <c r="C3" s="1" t="s">
        <v>117</v>
      </c>
      <c r="D3" s="1" t="s">
        <v>118</v>
      </c>
      <c r="E3" s="1" t="s">
        <v>119</v>
      </c>
      <c r="F3" s="1" t="s">
        <v>120</v>
      </c>
    </row>
    <row r="4" spans="2:6" x14ac:dyDescent="0.3">
      <c r="B4" s="1" t="s">
        <v>121</v>
      </c>
      <c r="C4" s="13">
        <v>15000000</v>
      </c>
      <c r="D4" s="14">
        <v>24</v>
      </c>
      <c r="E4" s="15">
        <v>0.11126663641970555</v>
      </c>
      <c r="F4" s="16">
        <f>PMT(E4/12,D4,-C4)</f>
        <v>699999.99981468939</v>
      </c>
    </row>
    <row r="5" spans="2:6" x14ac:dyDescent="0.3">
      <c r="B5" s="1" t="s">
        <v>122</v>
      </c>
      <c r="C5" s="13">
        <v>50000000</v>
      </c>
      <c r="D5" s="14">
        <v>36</v>
      </c>
      <c r="E5" s="15">
        <v>3.3000000000000002E-2</v>
      </c>
      <c r="F5" s="16">
        <f t="shared" ref="F5:F6" si="0">PMT(E5/12,D5,-C5)</f>
        <v>1460680.3706159466</v>
      </c>
    </row>
    <row r="6" spans="2:6" x14ac:dyDescent="0.3">
      <c r="B6" s="1" t="s">
        <v>123</v>
      </c>
      <c r="C6" s="13">
        <v>35000000</v>
      </c>
      <c r="D6" s="14">
        <v>12</v>
      </c>
      <c r="E6" s="15">
        <v>4.2000000000000003E-2</v>
      </c>
      <c r="F6" s="16">
        <f t="shared" si="0"/>
        <v>2983445.8499965882</v>
      </c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E8"/>
  <sheetViews>
    <sheetView workbookViewId="0"/>
  </sheetViews>
  <sheetFormatPr defaultRowHeight="16.5" x14ac:dyDescent="0.3"/>
  <cols>
    <col min="1" max="1" width="4" customWidth="1"/>
    <col min="2" max="2" width="12.375" bestFit="1" customWidth="1"/>
    <col min="3" max="3" width="11.875" bestFit="1" customWidth="1"/>
    <col min="4" max="4" width="11.25" customWidth="1"/>
    <col min="5" max="5" width="13.875" customWidth="1"/>
  </cols>
  <sheetData>
    <row r="2" spans="2:5" x14ac:dyDescent="0.3">
      <c r="B2" t="s">
        <v>124</v>
      </c>
    </row>
    <row r="3" spans="2:5" x14ac:dyDescent="0.3">
      <c r="B3" s="1" t="s">
        <v>125</v>
      </c>
      <c r="C3" s="1" t="s">
        <v>126</v>
      </c>
      <c r="D3" s="1" t="s">
        <v>127</v>
      </c>
      <c r="E3" s="1" t="s">
        <v>128</v>
      </c>
    </row>
    <row r="4" spans="2:5" x14ac:dyDescent="0.3">
      <c r="B4" s="14" t="s">
        <v>34</v>
      </c>
      <c r="C4" s="13">
        <v>45000000</v>
      </c>
      <c r="D4" s="14">
        <v>11</v>
      </c>
      <c r="E4" s="13">
        <v>3930000</v>
      </c>
    </row>
    <row r="5" spans="2:5" x14ac:dyDescent="0.3">
      <c r="B5" s="14" t="s">
        <v>15</v>
      </c>
      <c r="C5" s="13">
        <v>64000000</v>
      </c>
      <c r="D5" s="14">
        <v>21</v>
      </c>
      <c r="E5" s="13">
        <v>1861000</v>
      </c>
    </row>
    <row r="6" spans="2:5" x14ac:dyDescent="0.3">
      <c r="B6" s="14" t="s">
        <v>54</v>
      </c>
      <c r="C6" s="13">
        <v>28500000</v>
      </c>
      <c r="D6" s="14">
        <v>7</v>
      </c>
      <c r="E6" s="13">
        <v>625000</v>
      </c>
    </row>
    <row r="7" spans="2:5" x14ac:dyDescent="0.3">
      <c r="B7" s="14" t="s">
        <v>29</v>
      </c>
      <c r="C7" s="13">
        <v>34000000</v>
      </c>
      <c r="D7" s="14">
        <v>12</v>
      </c>
      <c r="E7" s="13">
        <v>1667000</v>
      </c>
    </row>
    <row r="8" spans="2:5" x14ac:dyDescent="0.3">
      <c r="B8" s="14" t="s">
        <v>85</v>
      </c>
      <c r="C8" s="13">
        <v>10000000</v>
      </c>
      <c r="D8" s="14">
        <v>3</v>
      </c>
      <c r="E8" s="13">
        <v>278000</v>
      </c>
    </row>
  </sheetData>
  <dataConsolidate topLabels="1">
    <dataRefs count="1">
      <dataRef ref="A2:F27" sheet="기타작업-1"/>
    </dataRefs>
  </dataConsolidate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3:J31"/>
  <sheetViews>
    <sheetView workbookViewId="0"/>
  </sheetViews>
  <sheetFormatPr defaultRowHeight="16.5" x14ac:dyDescent="0.3"/>
  <cols>
    <col min="1" max="1" width="5.625" customWidth="1"/>
    <col min="3" max="4" width="12" customWidth="1"/>
    <col min="5" max="5" width="13.5" bestFit="1" customWidth="1"/>
    <col min="6" max="6" width="12.375" customWidth="1"/>
    <col min="7" max="7" width="12" customWidth="1"/>
    <col min="8" max="8" width="16.25" customWidth="1"/>
    <col min="9" max="10" width="9.375" customWidth="1"/>
  </cols>
  <sheetData>
    <row r="3" spans="2:10" x14ac:dyDescent="0.3">
      <c r="B3" t="s">
        <v>129</v>
      </c>
    </row>
    <row r="4" spans="2:10" x14ac:dyDescent="0.3">
      <c r="B4" s="1" t="s">
        <v>130</v>
      </c>
      <c r="C4" s="1" t="s">
        <v>131</v>
      </c>
      <c r="D4" s="2" t="s">
        <v>132</v>
      </c>
      <c r="E4" s="2" t="s">
        <v>133</v>
      </c>
      <c r="F4" s="2" t="s">
        <v>134</v>
      </c>
      <c r="G4" s="2" t="s">
        <v>135</v>
      </c>
      <c r="H4" s="2" t="s">
        <v>136</v>
      </c>
      <c r="J4" s="1" t="s">
        <v>137</v>
      </c>
    </row>
    <row r="5" spans="2:10" x14ac:dyDescent="0.3">
      <c r="B5" s="1" t="s">
        <v>138</v>
      </c>
      <c r="C5" s="3" t="s">
        <v>139</v>
      </c>
      <c r="D5" s="1" t="s">
        <v>15</v>
      </c>
      <c r="E5" s="17">
        <v>20000000</v>
      </c>
      <c r="F5" s="1" t="s">
        <v>140</v>
      </c>
      <c r="G5" s="18">
        <v>3.5000000000000003E-2</v>
      </c>
      <c r="H5" s="19">
        <v>58333</v>
      </c>
      <c r="J5" s="1" t="s">
        <v>15</v>
      </c>
    </row>
    <row r="6" spans="2:10" x14ac:dyDescent="0.3">
      <c r="B6" s="1"/>
      <c r="C6" s="3"/>
      <c r="D6" s="3"/>
      <c r="E6" s="20"/>
      <c r="F6" s="1"/>
      <c r="G6" s="18"/>
      <c r="H6" s="19"/>
      <c r="J6" s="1" t="s">
        <v>29</v>
      </c>
    </row>
    <row r="7" spans="2:10" x14ac:dyDescent="0.3">
      <c r="B7" s="1"/>
      <c r="C7" s="3"/>
      <c r="D7" s="3"/>
      <c r="E7" s="12"/>
      <c r="F7" s="1"/>
      <c r="G7" s="12"/>
      <c r="H7" s="21"/>
      <c r="J7" s="1" t="s">
        <v>34</v>
      </c>
    </row>
    <row r="8" spans="2:10" x14ac:dyDescent="0.3">
      <c r="B8" s="1"/>
      <c r="C8" s="3"/>
      <c r="D8" s="3"/>
      <c r="E8" s="12"/>
      <c r="F8" s="1"/>
      <c r="G8" s="12"/>
      <c r="H8" s="21"/>
      <c r="J8" s="1" t="s">
        <v>54</v>
      </c>
    </row>
    <row r="9" spans="2:10" x14ac:dyDescent="0.3">
      <c r="B9" s="1"/>
      <c r="C9" s="3"/>
      <c r="D9" s="3"/>
      <c r="E9" s="22"/>
      <c r="F9" s="1"/>
      <c r="G9" s="18"/>
      <c r="H9" s="21"/>
      <c r="J9" s="1" t="s">
        <v>85</v>
      </c>
    </row>
    <row r="10" spans="2:10" x14ac:dyDescent="0.3">
      <c r="B10" s="1"/>
      <c r="C10" s="3"/>
      <c r="D10" s="3"/>
      <c r="E10" s="12"/>
      <c r="F10" s="1"/>
      <c r="G10" s="12"/>
      <c r="H10" s="21"/>
      <c r="J10" s="2" t="s">
        <v>141</v>
      </c>
    </row>
    <row r="11" spans="2:10" x14ac:dyDescent="0.3">
      <c r="B11" s="1"/>
      <c r="C11" s="3"/>
      <c r="D11" s="3"/>
      <c r="E11" s="12"/>
      <c r="F11" s="1"/>
      <c r="G11" s="12"/>
      <c r="H11" s="21"/>
      <c r="J11" s="2" t="s">
        <v>142</v>
      </c>
    </row>
    <row r="12" spans="2:10" x14ac:dyDescent="0.3">
      <c r="B12" s="1"/>
      <c r="C12" s="3"/>
      <c r="D12" s="3"/>
      <c r="E12" s="12"/>
      <c r="F12" s="1"/>
      <c r="G12" s="12"/>
      <c r="H12" s="21"/>
      <c r="J12" s="2" t="s">
        <v>143</v>
      </c>
    </row>
    <row r="13" spans="2:10" x14ac:dyDescent="0.3">
      <c r="B13" s="1"/>
      <c r="C13" s="3"/>
      <c r="D13" s="3"/>
      <c r="E13" s="12"/>
      <c r="F13" s="1"/>
      <c r="G13" s="12"/>
      <c r="H13" s="21"/>
    </row>
    <row r="14" spans="2:10" x14ac:dyDescent="0.3">
      <c r="B14" s="1"/>
      <c r="C14" s="3"/>
      <c r="D14" s="3"/>
      <c r="E14" s="12"/>
      <c r="F14" s="1"/>
      <c r="G14" s="12"/>
      <c r="H14" s="21"/>
    </row>
    <row r="15" spans="2:10" x14ac:dyDescent="0.3">
      <c r="B15" s="1"/>
      <c r="C15" s="3"/>
      <c r="D15" s="3"/>
      <c r="E15" s="12"/>
      <c r="F15" s="1"/>
      <c r="G15" s="12"/>
      <c r="H15" s="21"/>
    </row>
    <row r="16" spans="2:10" x14ac:dyDescent="0.3">
      <c r="B16" s="1"/>
      <c r="C16" s="3"/>
      <c r="D16" s="3"/>
      <c r="E16" s="12"/>
      <c r="F16" s="1"/>
      <c r="G16" s="12"/>
      <c r="H16" s="21"/>
    </row>
    <row r="17" spans="2:8" x14ac:dyDescent="0.3">
      <c r="B17" s="1"/>
      <c r="C17" s="3"/>
      <c r="D17" s="3"/>
      <c r="E17" s="12"/>
      <c r="F17" s="1"/>
      <c r="G17" s="12"/>
      <c r="H17" s="21"/>
    </row>
    <row r="18" spans="2:8" x14ac:dyDescent="0.3">
      <c r="B18" s="1"/>
      <c r="C18" s="3"/>
      <c r="D18" s="3"/>
      <c r="E18" s="12"/>
      <c r="F18" s="1"/>
      <c r="G18" s="12"/>
      <c r="H18" s="21"/>
    </row>
    <row r="19" spans="2:8" x14ac:dyDescent="0.3">
      <c r="B19" s="1"/>
      <c r="C19" s="3"/>
      <c r="D19" s="3"/>
      <c r="E19" s="22"/>
      <c r="F19" s="1"/>
      <c r="G19" s="12"/>
      <c r="H19" s="21"/>
    </row>
    <row r="20" spans="2:8" x14ac:dyDescent="0.3">
      <c r="B20" s="1"/>
      <c r="C20" s="3"/>
      <c r="D20" s="3"/>
      <c r="E20" s="22"/>
      <c r="F20" s="1"/>
      <c r="G20" s="12"/>
      <c r="H20" s="21"/>
    </row>
    <row r="21" spans="2:8" x14ac:dyDescent="0.3">
      <c r="B21" s="1"/>
      <c r="C21" s="3"/>
      <c r="D21" s="3"/>
      <c r="E21" s="12"/>
      <c r="F21" s="1"/>
      <c r="G21" s="12"/>
      <c r="H21" s="21"/>
    </row>
    <row r="22" spans="2:8" x14ac:dyDescent="0.3">
      <c r="B22" s="1"/>
      <c r="C22" s="3"/>
      <c r="D22" s="3"/>
      <c r="E22" s="12"/>
      <c r="F22" s="1"/>
      <c r="G22" s="12"/>
      <c r="H22" s="21"/>
    </row>
    <row r="23" spans="2:8" x14ac:dyDescent="0.3">
      <c r="B23" s="1"/>
      <c r="C23" s="3"/>
      <c r="D23" s="3"/>
      <c r="E23" s="12"/>
      <c r="F23" s="1"/>
      <c r="G23" s="12"/>
      <c r="H23" s="21"/>
    </row>
    <row r="24" spans="2:8" x14ac:dyDescent="0.3">
      <c r="B24" s="1"/>
      <c r="C24" s="3"/>
      <c r="D24" s="3"/>
      <c r="E24" s="12"/>
      <c r="F24" s="1"/>
      <c r="G24" s="12"/>
      <c r="H24" s="21"/>
    </row>
    <row r="25" spans="2:8" x14ac:dyDescent="0.3">
      <c r="B25" s="1"/>
      <c r="C25" s="3"/>
      <c r="D25" s="3"/>
      <c r="E25" s="12"/>
      <c r="F25" s="1"/>
      <c r="G25" s="12"/>
      <c r="H25" s="21"/>
    </row>
    <row r="26" spans="2:8" x14ac:dyDescent="0.3">
      <c r="B26" s="1"/>
      <c r="C26" s="3"/>
      <c r="D26" s="3"/>
      <c r="E26" s="12"/>
      <c r="F26" s="1"/>
      <c r="G26" s="12"/>
      <c r="H26" s="21"/>
    </row>
    <row r="27" spans="2:8" x14ac:dyDescent="0.3">
      <c r="B27" s="1"/>
      <c r="C27" s="3"/>
      <c r="D27" s="3"/>
      <c r="E27" s="12"/>
      <c r="F27" s="1"/>
      <c r="G27" s="12"/>
      <c r="H27" s="21"/>
    </row>
    <row r="28" spans="2:8" x14ac:dyDescent="0.3">
      <c r="B28" s="1"/>
      <c r="C28" s="3"/>
      <c r="D28" s="3"/>
      <c r="E28" s="12"/>
      <c r="F28" s="1"/>
      <c r="G28" s="12"/>
      <c r="H28" s="21"/>
    </row>
    <row r="29" spans="2:8" x14ac:dyDescent="0.3">
      <c r="B29" s="1"/>
      <c r="C29" s="3"/>
      <c r="D29" s="3"/>
      <c r="E29" s="12"/>
      <c r="F29" s="1"/>
      <c r="G29" s="12"/>
      <c r="H29" s="21"/>
    </row>
    <row r="30" spans="2:8" x14ac:dyDescent="0.3">
      <c r="E30" s="23"/>
    </row>
    <row r="31" spans="2:8" x14ac:dyDescent="0.3">
      <c r="E31" s="24"/>
    </row>
  </sheetData>
  <phoneticPr fontId="2" type="noConversion"/>
  <conditionalFormatting sqref="J5:J12 B5:G29">
    <cfRule type="expression" dxfId="0" priority="1">
      <formula>AND(OR(#REF!="동부",#REF!="서부"),#REF!&gt;=AVERAGE(#REF!))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md대출신청">
          <controlPr defaultSize="0" autoLine="0" r:id="rId4">
            <anchor moveWithCells="1">
              <from>
                <xdr:col>5</xdr:col>
                <xdr:colOff>438150</xdr:colOff>
                <xdr:row>0</xdr:row>
                <xdr:rowOff>76200</xdr:rowOff>
              </from>
              <to>
                <xdr:col>7</xdr:col>
                <xdr:colOff>685800</xdr:colOff>
                <xdr:row>2</xdr:row>
                <xdr:rowOff>85725</xdr:rowOff>
              </to>
            </anchor>
          </controlPr>
        </control>
      </mc:Choice>
      <mc:Fallback>
        <control shapeId="3073" r:id="rId3" name="cmd대출신청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2</vt:i4>
      </vt:variant>
    </vt:vector>
  </HeadingPairs>
  <TitlesOfParts>
    <vt:vector size="9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'기본작업-2'!Criteria</vt:lpstr>
      <vt:lpstr>'기본작업-2'!Extract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김우경</dc:creator>
  <cp:lastModifiedBy>김우경</cp:lastModifiedBy>
  <dcterms:created xsi:type="dcterms:W3CDTF">2017-08-30T13:06:31Z</dcterms:created>
  <dcterms:modified xsi:type="dcterms:W3CDTF">2017-09-05T11:51:13Z</dcterms:modified>
</cp:coreProperties>
</file>