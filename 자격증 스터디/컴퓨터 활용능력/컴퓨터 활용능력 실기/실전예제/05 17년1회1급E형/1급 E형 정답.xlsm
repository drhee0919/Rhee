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135" windowWidth="26955" windowHeight="13005" tabRatio="803"/>
  </bookViews>
  <sheets>
    <sheet name="기본작업-1" sheetId="4" r:id="rId1"/>
    <sheet name="기본작업-2" sheetId="5" r:id="rId2"/>
    <sheet name="계산작업" sheetId="6" r:id="rId3"/>
    <sheet name="분석작업-1" sheetId="7" r:id="rId4"/>
    <sheet name="분석작업-2" sheetId="12" r:id="rId5"/>
    <sheet name="기타작업-1" sheetId="11" r:id="rId6"/>
    <sheet name="기타작업-2" sheetId="10" r:id="rId7"/>
  </sheets>
  <functionGroups builtInGroupCount="17"/>
  <definedNames>
    <definedName name="_xlnm._FilterDatabase" localSheetId="2" hidden="1">계산작업!$B$2:$H$38</definedName>
    <definedName name="_xlnm._FilterDatabase" localSheetId="1" hidden="1">'기본작업-2'!$B$3:$T$31</definedName>
    <definedName name="_xlnm.Criteria" localSheetId="1">'기본작업-2'!$V$3:$V$4</definedName>
    <definedName name="_xlnm.Extract" localSheetId="1">'기본작업-2'!$X$3:$AB$3</definedName>
    <definedName name="MS_Access_Database_Query" localSheetId="3" hidden="1">'분석작업-1'!#REF!</definedName>
  </definedNames>
  <calcPr calcId="145621"/>
  <pivotCaches>
    <pivotCache cacheId="5" r:id="rId8"/>
  </pivotCaches>
</workbook>
</file>

<file path=xl/calcChain.xml><?xml version="1.0" encoding="utf-8"?>
<calcChain xmlns="http://schemas.openxmlformats.org/spreadsheetml/2006/main">
  <c r="E7" i="12" l="1"/>
  <c r="D7" i="12"/>
  <c r="C7" i="12"/>
  <c r="F6" i="12"/>
  <c r="F7" i="12" l="1"/>
  <c r="P21" i="6" l="1" a="1"/>
  <c r="P21" i="6" s="1"/>
  <c r="Q21" i="6" a="1"/>
  <c r="Q21" i="6"/>
  <c r="R21" i="6" a="1"/>
  <c r="R21" i="6" s="1"/>
  <c r="S21" i="6" a="1"/>
  <c r="S21" i="6"/>
  <c r="P22" i="6" a="1"/>
  <c r="P22" i="6" s="1"/>
  <c r="Q22" i="6" a="1"/>
  <c r="Q22" i="6"/>
  <c r="R22" i="6" a="1"/>
  <c r="R22" i="6" s="1"/>
  <c r="S22" i="6" a="1"/>
  <c r="S22" i="6"/>
  <c r="P23" i="6" a="1"/>
  <c r="P23" i="6" s="1"/>
  <c r="Q23" i="6" a="1"/>
  <c r="Q23" i="6"/>
  <c r="R23" i="6" a="1"/>
  <c r="R23" i="6" s="1"/>
  <c r="S23" i="6" a="1"/>
  <c r="S23" i="6"/>
  <c r="P24" i="6" a="1"/>
  <c r="P24" i="6" s="1"/>
  <c r="Q24" i="6" a="1"/>
  <c r="Q24" i="6"/>
  <c r="R24" i="6" a="1"/>
  <c r="R24" i="6" s="1"/>
  <c r="S24" i="6" a="1"/>
  <c r="S24" i="6"/>
  <c r="O22" i="6" a="1"/>
  <c r="O22" i="6" s="1"/>
  <c r="O23" i="6" a="1"/>
  <c r="O23" i="6" s="1"/>
  <c r="O24" i="6" a="1"/>
  <c r="O24" i="6" s="1"/>
  <c r="O21" i="6" a="1"/>
  <c r="O21" i="6"/>
  <c r="L20" i="6" a="1"/>
  <c r="L20" i="6" s="1"/>
  <c r="V4" i="5"/>
  <c r="L25" i="6" l="1"/>
  <c r="L21" i="6"/>
  <c r="L23" i="6"/>
  <c r="L26" i="6"/>
  <c r="L22" i="6"/>
  <c r="L24" i="6"/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" i="6"/>
  <c r="H8" i="6"/>
  <c r="H24" i="6"/>
  <c r="H6" i="6"/>
  <c r="H38" i="6"/>
  <c r="H35" i="6"/>
  <c r="H17" i="6"/>
  <c r="H33" i="6"/>
  <c r="H26" i="6"/>
  <c r="H23" i="6"/>
  <c r="H16" i="6"/>
  <c r="H22" i="6"/>
  <c r="H9" i="6"/>
  <c r="H10" i="6"/>
  <c r="H3" i="6"/>
  <c r="H20" i="6"/>
  <c r="H30" i="6"/>
  <c r="H13" i="6"/>
  <c r="H18" i="6"/>
  <c r="H12" i="6"/>
  <c r="H28" i="6"/>
  <c r="H14" i="6"/>
  <c r="H7" i="6"/>
  <c r="H5" i="6"/>
  <c r="H21" i="6"/>
  <c r="H37" i="6"/>
  <c r="H34" i="6"/>
  <c r="H31" i="6"/>
  <c r="H32" i="6"/>
  <c r="H19" i="6"/>
  <c r="H25" i="6"/>
  <c r="H11" i="6"/>
  <c r="H4" i="6"/>
  <c r="H36" i="6"/>
  <c r="H27" i="6"/>
  <c r="H29" i="6"/>
  <c r="H15" i="6"/>
  <c r="T31" i="5" l="1"/>
  <c r="T30" i="5"/>
  <c r="T29" i="5"/>
  <c r="T28" i="5"/>
  <c r="T27" i="5"/>
  <c r="T26" i="5"/>
  <c r="T25" i="5"/>
  <c r="T24" i="5"/>
  <c r="T23" i="5"/>
  <c r="T22" i="5"/>
  <c r="T21" i="5"/>
  <c r="T20" i="5"/>
  <c r="T19" i="5"/>
  <c r="T18" i="5"/>
  <c r="T17" i="5"/>
  <c r="T16" i="5"/>
  <c r="T15" i="5"/>
  <c r="T14" i="5"/>
  <c r="T13" i="5"/>
  <c r="T12" i="5"/>
  <c r="T11" i="5"/>
  <c r="T10" i="5"/>
  <c r="T9" i="5"/>
  <c r="T8" i="5"/>
  <c r="T7" i="5"/>
  <c r="T6" i="5"/>
  <c r="T5" i="5"/>
  <c r="T4" i="5"/>
</calcChain>
</file>

<file path=xl/connections.xml><?xml version="1.0" encoding="utf-8"?>
<connections xmlns="http://schemas.openxmlformats.org/spreadsheetml/2006/main">
  <connection id="1" name="MS Access Database_Query1" type="1" refreshedVersion="4">
    <dbPr connection="DSN=MS Access Database;DBQ=C:\길벗컴활1급\03 최신기출문제\01 17년1회1급E형\출석부관리.accdb;DefaultDir=C:\길벗컴활1급\03 최신기출문제\01 17년1회1급E형;DriverId=25;FIL=MS Access;MaxBufferSize=2048;PageTimeout=5;" command="SELECT 출석부.학년, 출석부.반, 출석부.이름, 출석부.성별, 출석부.출석수_x000d__x000a_FROM `C:\길벗컴활1급\03 최신기출문제\01 17년1회1급E형\출석부관리.accdb`.출석부 출석부"/>
  </connection>
</connections>
</file>

<file path=xl/sharedStrings.xml><?xml version="1.0" encoding="utf-8"?>
<sst xmlns="http://schemas.openxmlformats.org/spreadsheetml/2006/main" count="932" uniqueCount="215">
  <si>
    <t>학년</t>
  </si>
  <si>
    <t>반</t>
  </si>
  <si>
    <t>이름</t>
  </si>
  <si>
    <t>출석수</t>
  </si>
  <si>
    <t>사랑반</t>
    <phoneticPr fontId="9" type="noConversion"/>
  </si>
  <si>
    <t>김영서</t>
    <phoneticPr fontId="9" type="noConversion"/>
  </si>
  <si>
    <t>O</t>
    <phoneticPr fontId="9" type="noConversion"/>
  </si>
  <si>
    <t>사랑반</t>
    <phoneticPr fontId="9" type="noConversion"/>
  </si>
  <si>
    <t>이환</t>
    <phoneticPr fontId="9" type="noConversion"/>
  </si>
  <si>
    <t>O</t>
    <phoneticPr fontId="9" type="noConversion"/>
  </si>
  <si>
    <t>김유준</t>
    <phoneticPr fontId="9" type="noConversion"/>
  </si>
  <si>
    <t>화평반</t>
    <phoneticPr fontId="9" type="noConversion"/>
  </si>
  <si>
    <t>김지환</t>
    <phoneticPr fontId="9" type="noConversion"/>
  </si>
  <si>
    <t>원가은</t>
    <phoneticPr fontId="9" type="noConversion"/>
  </si>
  <si>
    <t>김서찬</t>
    <phoneticPr fontId="9" type="noConversion"/>
  </si>
  <si>
    <t>노재현</t>
    <phoneticPr fontId="9" type="noConversion"/>
  </si>
  <si>
    <t>희락반</t>
    <phoneticPr fontId="9" type="noConversion"/>
  </si>
  <si>
    <t>최예진</t>
    <phoneticPr fontId="9" type="noConversion"/>
  </si>
  <si>
    <t>전준호</t>
    <phoneticPr fontId="9" type="noConversion"/>
  </si>
  <si>
    <t>김우인</t>
    <phoneticPr fontId="9" type="noConversion"/>
  </si>
  <si>
    <t>양선반</t>
    <phoneticPr fontId="9" type="noConversion"/>
  </si>
  <si>
    <t>신지섭</t>
  </si>
  <si>
    <t>정승우</t>
  </si>
  <si>
    <t>오래참음반</t>
    <phoneticPr fontId="9" type="noConversion"/>
  </si>
  <si>
    <t>강연지</t>
  </si>
  <si>
    <t>박소연</t>
  </si>
  <si>
    <t>윤지강</t>
  </si>
  <si>
    <t>손채영</t>
  </si>
  <si>
    <t>자비반</t>
    <phoneticPr fontId="9" type="noConversion"/>
  </si>
  <si>
    <t>박지민</t>
  </si>
  <si>
    <t>김하람</t>
  </si>
  <si>
    <t>김하영</t>
  </si>
  <si>
    <t>이지훈</t>
  </si>
  <si>
    <t>이선녕</t>
  </si>
  <si>
    <t>충성반</t>
    <phoneticPr fontId="9" type="noConversion"/>
  </si>
  <si>
    <t>곽용빈</t>
  </si>
  <si>
    <t>이승아</t>
  </si>
  <si>
    <t>한정우</t>
    <phoneticPr fontId="9" type="noConversion"/>
  </si>
  <si>
    <t>이창재</t>
  </si>
  <si>
    <t>노석진</t>
  </si>
  <si>
    <t>권한지</t>
    <phoneticPr fontId="9" type="noConversion"/>
  </si>
  <si>
    <t>최경주</t>
  </si>
  <si>
    <t>[표1]</t>
    <phoneticPr fontId="5" type="noConversion"/>
  </si>
  <si>
    <t>가입나이</t>
    <phoneticPr fontId="5" type="noConversion"/>
  </si>
  <si>
    <t>코드</t>
    <phoneticPr fontId="5" type="noConversion"/>
  </si>
  <si>
    <t>가입금액</t>
    <phoneticPr fontId="5" type="noConversion"/>
  </si>
  <si>
    <t>가입기간</t>
    <phoneticPr fontId="5" type="noConversion"/>
  </si>
  <si>
    <t>미납기간</t>
    <phoneticPr fontId="5" type="noConversion"/>
  </si>
  <si>
    <t>가입상태</t>
    <phoneticPr fontId="5" type="noConversion"/>
  </si>
  <si>
    <t xml:space="preserve">[표2] </t>
    <phoneticPr fontId="5" type="noConversion"/>
  </si>
  <si>
    <t>BM</t>
    <phoneticPr fontId="5" type="noConversion"/>
  </si>
  <si>
    <t>구분</t>
    <phoneticPr fontId="5" type="noConversion"/>
  </si>
  <si>
    <t>성별</t>
    <phoneticPr fontId="5" type="noConversion"/>
  </si>
  <si>
    <t>BW</t>
    <phoneticPr fontId="5" type="noConversion"/>
  </si>
  <si>
    <t>기본형</t>
    <phoneticPr fontId="5" type="noConversion"/>
  </si>
  <si>
    <t>남자</t>
  </si>
  <si>
    <t>SM</t>
    <phoneticPr fontId="5" type="noConversion"/>
  </si>
  <si>
    <t>추가보장</t>
    <phoneticPr fontId="5" type="noConversion"/>
  </si>
  <si>
    <t>SW</t>
    <phoneticPr fontId="5" type="noConversion"/>
  </si>
  <si>
    <t>여자</t>
  </si>
  <si>
    <t>[표3] 코드별 가입나이별 가입금액</t>
    <phoneticPr fontId="5" type="noConversion"/>
  </si>
  <si>
    <t>BM</t>
    <phoneticPr fontId="5" type="noConversion"/>
  </si>
  <si>
    <t>SM</t>
    <phoneticPr fontId="5" type="noConversion"/>
  </si>
  <si>
    <t>BW</t>
    <phoneticPr fontId="5" type="noConversion"/>
  </si>
  <si>
    <t>SW</t>
    <phoneticPr fontId="5" type="noConversion"/>
  </si>
  <si>
    <t>[표4] 나이대별 가입자수</t>
    <phoneticPr fontId="5" type="noConversion"/>
  </si>
  <si>
    <t>[표5] 코드별 나이별 평균 가입기간</t>
    <phoneticPr fontId="5" type="noConversion"/>
  </si>
  <si>
    <t>나이</t>
    <phoneticPr fontId="5" type="noConversion"/>
  </si>
  <si>
    <t>가입자수</t>
    <phoneticPr fontId="5" type="noConversion"/>
  </si>
  <si>
    <t>코드</t>
    <phoneticPr fontId="5" type="noConversion"/>
  </si>
  <si>
    <t>성별</t>
  </si>
  <si>
    <t>믿음반</t>
  </si>
  <si>
    <t>남</t>
  </si>
  <si>
    <t>박연우</t>
  </si>
  <si>
    <t>박건우</t>
  </si>
  <si>
    <t>여</t>
  </si>
  <si>
    <t>사랑반</t>
  </si>
  <si>
    <t>김현규</t>
  </si>
  <si>
    <t>소망반</t>
  </si>
  <si>
    <t>박진우</t>
  </si>
  <si>
    <t>양선반</t>
  </si>
  <si>
    <t>최서진</t>
  </si>
  <si>
    <t>최병호</t>
  </si>
  <si>
    <t>오래참음반</t>
  </si>
  <si>
    <t>나예성</t>
  </si>
  <si>
    <t>유성호</t>
  </si>
  <si>
    <t>온유반</t>
  </si>
  <si>
    <t>안준혁</t>
  </si>
  <si>
    <t>자비반</t>
  </si>
  <si>
    <t>절제반</t>
  </si>
  <si>
    <t>충성반</t>
  </si>
  <si>
    <t>주민호</t>
  </si>
  <si>
    <t>화평반</t>
  </si>
  <si>
    <t>모방원</t>
  </si>
  <si>
    <t>희락반</t>
  </si>
  <si>
    <t>영어</t>
    <phoneticPr fontId="16" type="noConversion"/>
  </si>
  <si>
    <t>총점</t>
    <phoneticPr fontId="5" type="noConversion"/>
  </si>
  <si>
    <t>평균</t>
    <phoneticPr fontId="5" type="noConversion"/>
  </si>
  <si>
    <t>표준점수</t>
    <phoneticPr fontId="5" type="noConversion"/>
  </si>
  <si>
    <t>날짜</t>
  </si>
  <si>
    <t>매매</t>
  </si>
  <si>
    <t>전일비</t>
  </si>
  <si>
    <t>등락률</t>
  </si>
  <si>
    <t>현찰</t>
  </si>
  <si>
    <t>송금(전신환)</t>
  </si>
  <si>
    <t>기준율</t>
  </si>
  <si>
    <t>사실때</t>
  </si>
  <si>
    <t>파실때</t>
  </si>
  <si>
    <t>보내실때</t>
  </si>
  <si>
    <t>받으실때</t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</si>
  <si>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</si>
  <si>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</si>
  <si>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</si>
  <si>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</si>
  <si>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</si>
  <si>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</si>
  <si>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</si>
  <si>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</si>
  <si>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</si>
  <si>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</si>
  <si>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[표1]</t>
    <phoneticPr fontId="5" type="noConversion"/>
  </si>
  <si>
    <t>[표2]</t>
    <phoneticPr fontId="5" type="noConversion"/>
  </si>
  <si>
    <t>구분</t>
    <phoneticPr fontId="5" type="noConversion"/>
  </si>
  <si>
    <t>아동명</t>
    <phoneticPr fontId="5" type="noConversion"/>
  </si>
  <si>
    <t>보호자동반</t>
    <phoneticPr fontId="5" type="noConversion"/>
  </si>
  <si>
    <t>기본요금</t>
    <phoneticPr fontId="5" type="noConversion"/>
  </si>
  <si>
    <t>입장시간</t>
    <phoneticPr fontId="5" type="noConversion"/>
  </si>
  <si>
    <t>퇴장시간</t>
    <phoneticPr fontId="5" type="noConversion"/>
  </si>
  <si>
    <t>요금</t>
    <phoneticPr fontId="5" type="noConversion"/>
  </si>
  <si>
    <t>유치</t>
  </si>
  <si>
    <t>한새미</t>
  </si>
  <si>
    <t>유</t>
  </si>
  <si>
    <t>유아</t>
    <phoneticPr fontId="5" type="noConversion"/>
  </si>
  <si>
    <t>초등</t>
  </si>
  <si>
    <t>이시환</t>
  </si>
  <si>
    <t>무</t>
  </si>
  <si>
    <t>유치</t>
    <phoneticPr fontId="5" type="noConversion"/>
  </si>
  <si>
    <t>초등</t>
    <phoneticPr fontId="5" type="noConversion"/>
  </si>
  <si>
    <t>조건</t>
    <phoneticPr fontId="5" type="noConversion"/>
  </si>
  <si>
    <t>구분-성별</t>
    <phoneticPr fontId="5" type="noConversion"/>
  </si>
  <si>
    <t>총합계</t>
  </si>
  <si>
    <t>값</t>
  </si>
  <si>
    <t>전체 평균 : 출석수</t>
  </si>
  <si>
    <t>평균 : 출석수</t>
  </si>
  <si>
    <t>1 요약</t>
  </si>
  <si>
    <t>2 요약</t>
  </si>
  <si>
    <t>3 요약</t>
  </si>
  <si>
    <t>전체 학생수</t>
  </si>
  <si>
    <t>학생수</t>
  </si>
  <si>
    <t>환율 중국(CNY)</t>
    <phoneticPr fontId="5" type="noConversion"/>
  </si>
  <si>
    <t>환율 미국(USD)</t>
    <phoneticPr fontId="5" type="noConversion"/>
  </si>
  <si>
    <t>영어</t>
    <phoneticPr fontId="5" type="noConversion"/>
  </si>
  <si>
    <t>수학</t>
    <phoneticPr fontId="5" type="noConversion"/>
  </si>
  <si>
    <t>국어</t>
    <phoneticPr fontId="5" type="noConversion"/>
  </si>
  <si>
    <t>원점수</t>
    <phoneticPr fontId="5" type="noConversion"/>
  </si>
  <si>
    <t>표준편차</t>
    <phoneticPr fontId="5" type="noConversion"/>
  </si>
  <si>
    <t>과목</t>
    <phoneticPr fontId="5" type="noConversion"/>
  </si>
  <si>
    <t>수학</t>
    <phoneticPr fontId="16" type="noConversion"/>
  </si>
  <si>
    <t>국어</t>
    <phoneticPr fontId="16" type="noConversion"/>
  </si>
  <si>
    <t>점수구분</t>
    <phoneticPr fontId="5" type="noConversion"/>
  </si>
  <si>
    <t>[표1] 유시진 학생의 평가</t>
    <phoneticPr fontId="5" type="noConversion"/>
  </si>
  <si>
    <t>김주형</t>
  </si>
  <si>
    <t>전지호</t>
  </si>
  <si>
    <t>김종헌</t>
  </si>
  <si>
    <t>김서영</t>
  </si>
  <si>
    <t>송예린</t>
  </si>
  <si>
    <t>김유준</t>
  </si>
  <si>
    <t>이환</t>
  </si>
  <si>
    <t>김도연</t>
  </si>
  <si>
    <t>김도은</t>
  </si>
  <si>
    <t>조성아</t>
  </si>
  <si>
    <t>김영서</t>
  </si>
  <si>
    <t>김민제</t>
  </si>
  <si>
    <t>장시훈</t>
  </si>
  <si>
    <t>임형빈</t>
  </si>
  <si>
    <t>오정은</t>
  </si>
  <si>
    <t>이수린</t>
  </si>
  <si>
    <t>최경은</t>
  </si>
  <si>
    <t>유연서</t>
  </si>
  <si>
    <t>윤서연</t>
  </si>
  <si>
    <t>이유진</t>
  </si>
  <si>
    <t>김다연</t>
  </si>
  <si>
    <t>김다윤</t>
  </si>
  <si>
    <t>이시연</t>
  </si>
  <si>
    <t>김수아</t>
  </si>
  <si>
    <t>김주한</t>
  </si>
  <si>
    <t>차숙원</t>
  </si>
  <si>
    <t>박준영</t>
  </si>
  <si>
    <t>이지선</t>
  </si>
  <si>
    <t>권지인</t>
  </si>
  <si>
    <t>김시연</t>
  </si>
  <si>
    <t>박지원</t>
  </si>
  <si>
    <t>신유나</t>
  </si>
  <si>
    <t>신유민</t>
  </si>
  <si>
    <t>김이수</t>
  </si>
  <si>
    <t>김대훈</t>
  </si>
  <si>
    <t>김민석</t>
  </si>
  <si>
    <t>용성원</t>
  </si>
  <si>
    <t>신주아</t>
  </si>
  <si>
    <t>임채원</t>
  </si>
  <si>
    <t>임정원</t>
  </si>
  <si>
    <t>한정우</t>
  </si>
  <si>
    <t>권한지</t>
  </si>
  <si>
    <t>노재현</t>
  </si>
  <si>
    <t>원가은</t>
  </si>
  <si>
    <t>김서찬</t>
  </si>
  <si>
    <t>김지환</t>
  </si>
  <si>
    <t>김민준</t>
  </si>
  <si>
    <t>전준호</t>
  </si>
  <si>
    <t>오지원</t>
  </si>
  <si>
    <t>최예진</t>
  </si>
  <si>
    <t>김우인</t>
  </si>
  <si>
    <t>이종선</t>
  </si>
  <si>
    <t>유아</t>
  </si>
  <si>
    <t>3333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</si>
</sst>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-* #,##0_-;\-* #,##0_-;_-* &quot;-&quot;_-;_-@_-"/>
    <numFmt numFmtId="176" formatCode="m\/d"/>
    <numFmt numFmtId="177" formatCode="0\ &quot;세&quot;"/>
    <numFmt numFmtId="178" formatCode="0&quot;세 이상&quot;"/>
    <numFmt numFmtId="179" formatCode="0&quot;세 미만&quot;"/>
    <numFmt numFmtId="180" formatCode="0&quot;세 ~&quot;"/>
    <numFmt numFmtId="181" formatCode="\ 0&quot;세&quot;"/>
    <numFmt numFmtId="182" formatCode="0.00_ "/>
    <numFmt numFmtId="183" formatCode="mm&quot;월&quot;\ dd&quot;일&quot;"/>
    <numFmt numFmtId="184" formatCode="0.0_ "/>
    <numFmt numFmtId="185" formatCode="0_ "/>
  </numFmts>
  <fonts count="3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1"/>
      <color rgb="FF0061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name val="Arial"/>
      <family val="2"/>
    </font>
    <font>
      <b/>
      <sz val="11"/>
      <color theme="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1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0" borderId="0">
      <alignment vertical="center"/>
    </xf>
    <xf numFmtId="9" fontId="28" fillId="0" borderId="0" applyFont="0" applyFill="0" applyBorder="0" applyAlignment="0" applyProtection="0"/>
  </cellStyleXfs>
  <cellXfs count="113">
    <xf numFmtId="0" fontId="0" fillId="0" borderId="0" xfId="0">
      <alignment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shrinkToFit="1"/>
    </xf>
    <xf numFmtId="0" fontId="7" fillId="0" borderId="1" xfId="3" applyFont="1" applyFill="1" applyBorder="1" applyAlignment="1">
      <alignment horizontal="center" vertical="center"/>
    </xf>
    <xf numFmtId="0" fontId="8" fillId="0" borderId="1" xfId="4" applyFont="1" applyFill="1" applyBorder="1" applyAlignment="1">
      <alignment horizontal="center" vertical="center" wrapText="1"/>
    </xf>
    <xf numFmtId="0" fontId="1" fillId="0" borderId="1" xfId="4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shrinkToFit="1"/>
    </xf>
    <xf numFmtId="0" fontId="0" fillId="0" borderId="1" xfId="0" applyBorder="1" applyAlignment="1" applyProtection="1">
      <alignment horizontal="center" vertical="center"/>
      <protection hidden="1"/>
    </xf>
    <xf numFmtId="0" fontId="10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/>
    </xf>
    <xf numFmtId="0" fontId="8" fillId="0" borderId="1" xfId="7" applyFont="1" applyFill="1" applyBorder="1" applyAlignment="1">
      <alignment horizontal="center" vertical="center" wrapText="1"/>
    </xf>
    <xf numFmtId="0" fontId="1" fillId="0" borderId="1" xfId="7" applyFont="1" applyFill="1" applyBorder="1" applyAlignment="1">
      <alignment horizontal="center" vertical="center" wrapText="1"/>
    </xf>
    <xf numFmtId="0" fontId="8" fillId="0" borderId="1" xfId="7" applyFont="1" applyFill="1" applyBorder="1" applyAlignment="1">
      <alignment horizontal="center" vertical="center"/>
    </xf>
    <xf numFmtId="0" fontId="8" fillId="0" borderId="1" xfId="6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shrinkToFit="1"/>
    </xf>
    <xf numFmtId="0" fontId="1" fillId="0" borderId="1" xfId="4" applyFont="1" applyFill="1" applyBorder="1" applyAlignment="1">
      <alignment horizontal="center" vertical="center" wrapText="1"/>
    </xf>
    <xf numFmtId="0" fontId="1" fillId="0" borderId="1" xfId="4" applyFont="1" applyFill="1" applyBorder="1" applyAlignment="1">
      <alignment horizontal="center" vertical="center" shrinkToFit="1"/>
    </xf>
    <xf numFmtId="0" fontId="1" fillId="0" borderId="1" xfId="6" applyFont="1" applyFill="1" applyBorder="1" applyAlignment="1">
      <alignment horizontal="center" vertical="center" wrapText="1"/>
    </xf>
    <xf numFmtId="0" fontId="1" fillId="0" borderId="1" xfId="8" applyFont="1" applyFill="1" applyBorder="1" applyAlignment="1">
      <alignment horizontal="center" vertical="center" wrapText="1"/>
    </xf>
    <xf numFmtId="0" fontId="8" fillId="0" borderId="1" xfId="8" applyFont="1" applyFill="1" applyBorder="1" applyAlignment="1">
      <alignment horizontal="center" vertical="center" wrapText="1"/>
    </xf>
    <xf numFmtId="0" fontId="12" fillId="0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41" fontId="8" fillId="0" borderId="0" xfId="1" applyFont="1" applyFill="1">
      <alignment vertical="center"/>
    </xf>
    <xf numFmtId="14" fontId="8" fillId="0" borderId="0" xfId="1" applyNumberFormat="1" applyFont="1" applyFill="1">
      <alignment vertical="center"/>
    </xf>
    <xf numFmtId="0" fontId="8" fillId="0" borderId="0" xfId="0" applyFont="1" applyFill="1">
      <alignment vertical="center"/>
    </xf>
    <xf numFmtId="0" fontId="13" fillId="0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41" fontId="13" fillId="8" borderId="1" xfId="1" applyFont="1" applyFill="1" applyBorder="1" applyAlignment="1">
      <alignment horizontal="center" vertical="center"/>
    </xf>
    <xf numFmtId="41" fontId="13" fillId="0" borderId="1" xfId="1" applyFont="1" applyFill="1" applyBorder="1" applyAlignment="1">
      <alignment horizontal="center" vertical="center"/>
    </xf>
    <xf numFmtId="177" fontId="8" fillId="0" borderId="2" xfId="0" applyNumberFormat="1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 wrapText="1"/>
    </xf>
    <xf numFmtId="41" fontId="8" fillId="0" borderId="2" xfId="1" applyFont="1" applyFill="1" applyBorder="1">
      <alignment vertical="center"/>
    </xf>
    <xf numFmtId="0" fontId="8" fillId="0" borderId="2" xfId="0" applyFont="1" applyFill="1" applyBorder="1">
      <alignment vertical="center"/>
    </xf>
    <xf numFmtId="0" fontId="8" fillId="0" borderId="2" xfId="0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177" fontId="8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>
      <alignment vertical="center"/>
    </xf>
    <xf numFmtId="0" fontId="14" fillId="0" borderId="3" xfId="0" applyFont="1" applyFill="1" applyBorder="1" applyAlignment="1">
      <alignment horizontal="center" vertical="center" wrapText="1"/>
    </xf>
    <xf numFmtId="178" fontId="14" fillId="0" borderId="1" xfId="0" applyNumberFormat="1" applyFont="1" applyFill="1" applyBorder="1" applyAlignment="1">
      <alignment horizontal="center" vertical="center" wrapText="1"/>
    </xf>
    <xf numFmtId="0" fontId="14" fillId="0" borderId="2" xfId="0" applyFont="1" applyFill="1" applyBorder="1" applyAlignment="1">
      <alignment horizontal="center" vertical="center" wrapText="1"/>
    </xf>
    <xf numFmtId="179" fontId="14" fillId="0" borderId="1" xfId="0" applyNumberFormat="1" applyFont="1" applyFill="1" applyBorder="1" applyAlignment="1">
      <alignment horizontal="center" vertical="center" wrapText="1"/>
    </xf>
    <xf numFmtId="3" fontId="11" fillId="0" borderId="1" xfId="0" applyNumberFormat="1" applyFont="1" applyFill="1" applyBorder="1" applyAlignment="1">
      <alignment vertical="center" wrapText="1"/>
    </xf>
    <xf numFmtId="0" fontId="14" fillId="8" borderId="1" xfId="0" applyFont="1" applyFill="1" applyBorder="1" applyAlignment="1">
      <alignment horizontal="center" vertical="center" wrapText="1"/>
    </xf>
    <xf numFmtId="178" fontId="14" fillId="8" borderId="1" xfId="0" applyNumberFormat="1" applyFont="1" applyFill="1" applyBorder="1" applyAlignment="1">
      <alignment horizontal="center" vertical="center" wrapText="1"/>
    </xf>
    <xf numFmtId="180" fontId="11" fillId="0" borderId="4" xfId="0" applyNumberFormat="1" applyFont="1" applyFill="1" applyBorder="1" applyAlignment="1">
      <alignment horizontal="right" vertical="center" wrapText="1"/>
    </xf>
    <xf numFmtId="181" fontId="11" fillId="0" borderId="5" xfId="0" applyNumberFormat="1" applyFont="1" applyFill="1" applyBorder="1" applyAlignment="1">
      <alignment horizontal="left" vertical="center" wrapText="1"/>
    </xf>
    <xf numFmtId="179" fontId="14" fillId="8" borderId="1" xfId="0" applyNumberFormat="1" applyFont="1" applyFill="1" applyBorder="1" applyAlignment="1">
      <alignment horizontal="center" vertical="center" wrapText="1"/>
    </xf>
    <xf numFmtId="0" fontId="11" fillId="0" borderId="4" xfId="0" applyFont="1" applyFill="1" applyBorder="1" applyAlignment="1">
      <alignment horizontal="center" vertical="center" wrapText="1"/>
    </xf>
    <xf numFmtId="182" fontId="8" fillId="0" borderId="1" xfId="0" applyNumberFormat="1" applyFont="1" applyFill="1" applyBorder="1" applyAlignment="1">
      <alignment vertical="center"/>
    </xf>
    <xf numFmtId="0" fontId="0" fillId="0" borderId="0" xfId="0" applyFill="1">
      <alignment vertical="center"/>
    </xf>
    <xf numFmtId="0" fontId="15" fillId="0" borderId="0" xfId="9" applyFont="1" applyAlignment="1">
      <alignment horizontal="center"/>
    </xf>
    <xf numFmtId="0" fontId="15" fillId="0" borderId="0" xfId="9" applyFont="1" applyAlignment="1"/>
    <xf numFmtId="0" fontId="15" fillId="0" borderId="0" xfId="9" applyFont="1" applyAlignment="1">
      <alignment vertical="center"/>
    </xf>
    <xf numFmtId="0" fontId="8" fillId="0" borderId="0" xfId="0" applyFont="1">
      <alignment vertical="center"/>
    </xf>
    <xf numFmtId="0" fontId="15" fillId="0" borderId="0" xfId="9" applyFont="1" applyAlignment="1">
      <alignment horizontal="left"/>
    </xf>
    <xf numFmtId="0" fontId="15" fillId="0" borderId="0" xfId="9" applyFont="1" applyAlignment="1">
      <alignment horizontal="left" vertical="center"/>
    </xf>
    <xf numFmtId="0" fontId="7" fillId="0" borderId="1" xfId="9" applyFont="1" applyBorder="1" applyAlignment="1">
      <alignment horizontal="center" vertical="center"/>
    </xf>
    <xf numFmtId="0" fontId="7" fillId="0" borderId="0" xfId="9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5" fillId="0" borderId="1" xfId="9" applyFont="1" applyBorder="1" applyAlignment="1">
      <alignment horizontal="center"/>
    </xf>
    <xf numFmtId="41" fontId="15" fillId="0" borderId="1" xfId="1" applyFont="1" applyBorder="1" applyAlignment="1"/>
    <xf numFmtId="41" fontId="15" fillId="0" borderId="0" xfId="1" applyFont="1" applyBorder="1" applyAlignment="1"/>
    <xf numFmtId="182" fontId="8" fillId="0" borderId="1" xfId="0" applyNumberFormat="1" applyFont="1" applyBorder="1">
      <alignment vertical="center"/>
    </xf>
    <xf numFmtId="0" fontId="17" fillId="0" borderId="0" xfId="2" applyFont="1" applyAlignment="1">
      <alignment vertical="center"/>
    </xf>
    <xf numFmtId="0" fontId="18" fillId="0" borderId="1" xfId="0" applyFont="1" applyBorder="1" applyAlignment="1">
      <alignment horizontal="center" vertical="center" wrapText="1"/>
    </xf>
    <xf numFmtId="183" fontId="19" fillId="0" borderId="1" xfId="0" applyNumberFormat="1" applyFont="1" applyBorder="1" applyAlignment="1">
      <alignment horizontal="center" vertical="center" wrapText="1"/>
    </xf>
    <xf numFmtId="184" fontId="19" fillId="0" borderId="1" xfId="0" applyNumberFormat="1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10" fontId="22" fillId="0" borderId="1" xfId="0" applyNumberFormat="1" applyFont="1" applyBorder="1" applyAlignment="1">
      <alignment horizontal="center" vertical="center" wrapText="1"/>
    </xf>
    <xf numFmtId="182" fontId="19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10" fontId="25" fillId="0" borderId="1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1" fontId="8" fillId="0" borderId="0" xfId="1" applyFont="1">
      <alignment vertical="center"/>
    </xf>
    <xf numFmtId="0" fontId="26" fillId="9" borderId="1" xfId="5" applyFont="1" applyFill="1" applyBorder="1" applyAlignment="1">
      <alignment horizontal="center" vertical="center"/>
    </xf>
    <xf numFmtId="41" fontId="26" fillId="9" borderId="1" xfId="1" applyFont="1" applyFill="1" applyBorder="1" applyAlignment="1">
      <alignment horizontal="center" vertical="center"/>
    </xf>
    <xf numFmtId="41" fontId="27" fillId="0" borderId="0" xfId="1" applyFont="1" applyFill="1" applyBorder="1" applyAlignment="1">
      <alignment horizontal="center" vertical="center"/>
    </xf>
    <xf numFmtId="20" fontId="8" fillId="0" borderId="0" xfId="0" applyNumberFormat="1" applyFont="1">
      <alignment vertical="center"/>
    </xf>
    <xf numFmtId="3" fontId="8" fillId="0" borderId="1" xfId="1" applyNumberFormat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85" fontId="0" fillId="0" borderId="0" xfId="0" applyNumberFormat="1">
      <alignment vertical="center"/>
    </xf>
    <xf numFmtId="0" fontId="0" fillId="10" borderId="6" xfId="0" applyFont="1" applyFill="1" applyBorder="1">
      <alignment vertical="center"/>
    </xf>
    <xf numFmtId="0" fontId="0" fillId="10" borderId="7" xfId="0" applyFont="1" applyFill="1" applyBorder="1">
      <alignment vertical="center"/>
    </xf>
    <xf numFmtId="0" fontId="0" fillId="10" borderId="8" xfId="0" applyFont="1" applyFill="1" applyBorder="1">
      <alignment vertical="center"/>
    </xf>
    <xf numFmtId="0" fontId="29" fillId="11" borderId="9" xfId="0" applyFont="1" applyFill="1" applyBorder="1">
      <alignment vertical="center"/>
    </xf>
    <xf numFmtId="0" fontId="29" fillId="11" borderId="10" xfId="0" applyFont="1" applyFill="1" applyBorder="1">
      <alignment vertical="center"/>
    </xf>
    <xf numFmtId="0" fontId="29" fillId="11" borderId="11" xfId="0" applyFont="1" applyFill="1" applyBorder="1">
      <alignment vertical="center"/>
    </xf>
    <xf numFmtId="0" fontId="0" fillId="10" borderId="9" xfId="0" applyFont="1" applyFill="1" applyBorder="1">
      <alignment vertical="center"/>
    </xf>
    <xf numFmtId="0" fontId="0" fillId="10" borderId="10" xfId="0" applyFont="1" applyFill="1" applyBorder="1">
      <alignment vertical="center"/>
    </xf>
    <xf numFmtId="0" fontId="0" fillId="10" borderId="11" xfId="0" applyFont="1" applyFill="1" applyBorder="1">
      <alignment vertical="center"/>
    </xf>
    <xf numFmtId="0" fontId="0" fillId="0" borderId="9" xfId="0" applyFont="1" applyBorder="1">
      <alignment vertical="center"/>
    </xf>
    <xf numFmtId="0" fontId="0" fillId="0" borderId="10" xfId="0" applyFont="1" applyBorder="1">
      <alignment vertical="center"/>
    </xf>
    <xf numFmtId="0" fontId="0" fillId="0" borderId="11" xfId="0" applyFont="1" applyBorder="1">
      <alignment vertical="center"/>
    </xf>
    <xf numFmtId="0" fontId="29" fillId="11" borderId="9" xfId="0" applyFont="1" applyFill="1" applyBorder="1" applyAlignment="1">
      <alignment horizontal="center" vertical="center"/>
    </xf>
    <xf numFmtId="0" fontId="29" fillId="11" borderId="10" xfId="0" applyFont="1" applyFill="1" applyBorder="1" applyAlignment="1">
      <alignment horizontal="center" vertical="center"/>
    </xf>
    <xf numFmtId="0" fontId="29" fillId="11" borderId="11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 wrapText="1"/>
    </xf>
    <xf numFmtId="0" fontId="14" fillId="0" borderId="5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</cellXfs>
  <cellStyles count="11">
    <cellStyle name="20% - 강조색1" xfId="4" builtinId="30"/>
    <cellStyle name="20% - 강조색2" xfId="6" builtinId="34"/>
    <cellStyle name="20% - 강조색3" xfId="7" builtinId="38"/>
    <cellStyle name="20% - 강조색4" xfId="8" builtinId="42"/>
    <cellStyle name="60% - 강조색1" xfId="5" builtinId="32"/>
    <cellStyle name="백분율 2" xfId="10"/>
    <cellStyle name="쉼표 [0]" xfId="1" builtinId="6"/>
    <cellStyle name="제목" xfId="2" builtinId="15"/>
    <cellStyle name="좋음" xfId="3" builtinId="26"/>
    <cellStyle name="표준" xfId="0" builtinId="0"/>
    <cellStyle name="표준 2" xfId="9"/>
  </cellStyles>
  <dxfs count="2"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marker>
            <c:symbol val="triangle"/>
            <c:size val="10"/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b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numRef>
              <c:f>'기타작업-1'!$B$6:$B$10</c:f>
              <c:numCache>
                <c:formatCode>mm"월"\ dd"일"</c:formatCode>
                <c:ptCount val="5"/>
                <c:pt idx="0">
                  <c:v>42447</c:v>
                </c:pt>
                <c:pt idx="1">
                  <c:v>42446</c:v>
                </c:pt>
                <c:pt idx="2">
                  <c:v>42445</c:v>
                </c:pt>
                <c:pt idx="3">
                  <c:v>42444</c:v>
                </c:pt>
                <c:pt idx="4">
                  <c:v>42443</c:v>
                </c:pt>
              </c:numCache>
            </c:numRef>
          </c:cat>
          <c:val>
            <c:numRef>
              <c:f>'기타작업-1'!$C$6:$C$10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935680"/>
        <c:axId val="156937216"/>
      </c:lineChart>
      <c:lineChart>
        <c:grouping val="standard"/>
        <c:varyColors val="0"/>
        <c:ser>
          <c:idx val="1"/>
          <c:order val="1"/>
          <c:tx>
            <c:v>중국(CNY)</c:v>
          </c:tx>
          <c:val>
            <c:numRef>
              <c:f>'기타작업-1'!$C$17:$C$21</c:f>
              <c:numCache>
                <c:formatCode>0.0_ </c:formatCode>
                <c:ptCount val="5"/>
                <c:pt idx="0">
                  <c:v>179</c:v>
                </c:pt>
                <c:pt idx="1">
                  <c:v>177.57</c:v>
                </c:pt>
                <c:pt idx="2">
                  <c:v>178</c:v>
                </c:pt>
                <c:pt idx="3">
                  <c:v>176.24</c:v>
                </c:pt>
                <c:pt idx="4">
                  <c:v>176.99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333184"/>
        <c:axId val="164005760"/>
      </c:lineChart>
      <c:dateAx>
        <c:axId val="156935680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crossAx val="156937216"/>
        <c:crosses val="autoZero"/>
        <c:auto val="1"/>
        <c:lblOffset val="100"/>
        <c:baseTimeUnit val="days"/>
      </c:dateAx>
      <c:valAx>
        <c:axId val="156937216"/>
        <c:scaling>
          <c:orientation val="minMax"/>
          <c:max val="1250"/>
          <c:min val="1150"/>
        </c:scaling>
        <c:delete val="0"/>
        <c:axPos val="l"/>
        <c:majorGridlines/>
        <c:title>
          <c:tx>
            <c:strRef>
              <c:f>'기타작업-1'!$B$2</c:f>
              <c:strCache>
                <c:ptCount val="1"/>
                <c:pt idx="0">
                  <c:v>환율 미국(USD)</c:v>
                </c:pt>
              </c:strCache>
            </c:strRef>
          </c:tx>
          <c:overlay val="0"/>
          <c:txPr>
            <a:bodyPr rot="0" vert="wordArtVertRtl"/>
            <a:lstStyle/>
            <a:p>
              <a:pPr>
                <a:defRPr/>
              </a:pPr>
              <a:endParaRPr lang="ko-KR"/>
            </a:p>
          </c:txPr>
        </c:title>
        <c:numFmt formatCode="0.0_ " sourceLinked="1"/>
        <c:majorTickMark val="out"/>
        <c:minorTickMark val="none"/>
        <c:tickLblPos val="nextTo"/>
        <c:crossAx val="156935680"/>
        <c:crosses val="autoZero"/>
        <c:crossBetween val="between"/>
        <c:majorUnit val="10"/>
      </c:valAx>
      <c:valAx>
        <c:axId val="164005760"/>
        <c:scaling>
          <c:orientation val="minMax"/>
        </c:scaling>
        <c:delete val="0"/>
        <c:axPos val="r"/>
        <c:numFmt formatCode="0.0_ " sourceLinked="1"/>
        <c:majorTickMark val="out"/>
        <c:minorTickMark val="none"/>
        <c:tickLblPos val="nextTo"/>
        <c:crossAx val="176333184"/>
        <c:crosses val="max"/>
        <c:crossBetween val="between"/>
      </c:valAx>
      <c:catAx>
        <c:axId val="176333184"/>
        <c:scaling>
          <c:orientation val="minMax"/>
        </c:scaling>
        <c:delete val="1"/>
        <c:axPos val="b"/>
        <c:majorTickMark val="out"/>
        <c:minorTickMark val="none"/>
        <c:tickLblPos val="nextTo"/>
        <c:crossAx val="164005760"/>
        <c:crosses val="autoZero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수학목표점수찾기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20</xdr:col>
      <xdr:colOff>0</xdr:colOff>
      <xdr:row>21</xdr:row>
      <xdr:rowOff>209549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381000</xdr:colOff>
          <xdr:row>3</xdr:row>
          <xdr:rowOff>95250</xdr:rowOff>
        </xdr:to>
        <xdr:sp macro="" textlink="">
          <xdr:nvSpPr>
            <xdr:cNvPr id="5121" name="cmd등록작업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83.683721643516" createdVersion="4" refreshedVersion="4" minRefreshableVersion="3" recordCount="80">
  <cacheSource type="worksheet">
    <worksheetSource ref="A1:E81" sheet="분석작업-1"/>
  </cacheSource>
  <cacheFields count="5">
    <cacheField name="학년" numFmtId="0">
      <sharedItems containsSemiMixedTypes="0" containsString="0" containsNumber="1" containsInteger="1" minValue="1" maxValue="3" count="3">
        <n v="3"/>
        <n v="1"/>
        <n v="2"/>
      </sharedItems>
    </cacheField>
    <cacheField name="반" numFmtId="0">
      <sharedItems count="11">
        <s v="믿음반"/>
        <s v="사랑반"/>
        <s v="소망반"/>
        <s v="양선반"/>
        <s v="오래참음반"/>
        <s v="온유반"/>
        <s v="자비반"/>
        <s v="절제반"/>
        <s v="충성반"/>
        <s v="화평반"/>
        <s v="희락반"/>
      </sharedItems>
    </cacheField>
    <cacheField name="이름" numFmtId="0">
      <sharedItems/>
    </cacheField>
    <cacheField name="성별" numFmtId="0">
      <sharedItems count="2">
        <s v="남"/>
        <s v="여"/>
      </sharedItems>
    </cacheField>
    <cacheField name="출석수" numFmtId="0">
      <sharedItems containsSemiMixedTypes="0" containsString="0" containsNumber="1" containsInteger="1" minValue="0" maxValue="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s v="김주형"/>
    <x v="0"/>
    <n v="15"/>
  </r>
  <r>
    <x v="0"/>
    <x v="0"/>
    <s v="전지호"/>
    <x v="0"/>
    <n v="15"/>
  </r>
  <r>
    <x v="0"/>
    <x v="0"/>
    <s v="박연우"/>
    <x v="0"/>
    <n v="3"/>
  </r>
  <r>
    <x v="0"/>
    <x v="0"/>
    <s v="김종헌"/>
    <x v="0"/>
    <n v="5"/>
  </r>
  <r>
    <x v="0"/>
    <x v="0"/>
    <s v="박건우"/>
    <x v="0"/>
    <n v="0"/>
  </r>
  <r>
    <x v="0"/>
    <x v="0"/>
    <s v="김서영"/>
    <x v="1"/>
    <n v="14"/>
  </r>
  <r>
    <x v="0"/>
    <x v="0"/>
    <s v="송예린"/>
    <x v="1"/>
    <n v="15"/>
  </r>
  <r>
    <x v="1"/>
    <x v="1"/>
    <s v="김현규"/>
    <x v="0"/>
    <n v="0"/>
  </r>
  <r>
    <x v="1"/>
    <x v="1"/>
    <s v="김유준"/>
    <x v="0"/>
    <n v="12"/>
  </r>
  <r>
    <x v="1"/>
    <x v="1"/>
    <s v="이환"/>
    <x v="0"/>
    <n v="13"/>
  </r>
  <r>
    <x v="1"/>
    <x v="1"/>
    <s v="김도연"/>
    <x v="1"/>
    <n v="1"/>
  </r>
  <r>
    <x v="1"/>
    <x v="1"/>
    <s v="김도은"/>
    <x v="1"/>
    <n v="1"/>
  </r>
  <r>
    <x v="1"/>
    <x v="1"/>
    <s v="조성아"/>
    <x v="1"/>
    <n v="0"/>
  </r>
  <r>
    <x v="1"/>
    <x v="1"/>
    <s v="김영서"/>
    <x v="1"/>
    <n v="15"/>
  </r>
  <r>
    <x v="0"/>
    <x v="2"/>
    <s v="김민제"/>
    <x v="0"/>
    <n v="13"/>
  </r>
  <r>
    <x v="0"/>
    <x v="2"/>
    <s v="장시훈"/>
    <x v="0"/>
    <n v="13"/>
  </r>
  <r>
    <x v="0"/>
    <x v="2"/>
    <s v="임형빈"/>
    <x v="0"/>
    <n v="13"/>
  </r>
  <r>
    <x v="0"/>
    <x v="2"/>
    <s v="박진우"/>
    <x v="0"/>
    <n v="0"/>
  </r>
  <r>
    <x v="0"/>
    <x v="2"/>
    <s v="오정은"/>
    <x v="1"/>
    <n v="15"/>
  </r>
  <r>
    <x v="0"/>
    <x v="2"/>
    <s v="이수린"/>
    <x v="1"/>
    <n v="15"/>
  </r>
  <r>
    <x v="0"/>
    <x v="2"/>
    <s v="최경은"/>
    <x v="1"/>
    <n v="13"/>
  </r>
  <r>
    <x v="0"/>
    <x v="2"/>
    <s v="유연서"/>
    <x v="1"/>
    <n v="2"/>
  </r>
  <r>
    <x v="0"/>
    <x v="2"/>
    <s v="윤서연"/>
    <x v="1"/>
    <n v="0"/>
  </r>
  <r>
    <x v="0"/>
    <x v="2"/>
    <s v="이유진"/>
    <x v="1"/>
    <n v="12"/>
  </r>
  <r>
    <x v="2"/>
    <x v="3"/>
    <s v="최서진"/>
    <x v="0"/>
    <n v="2"/>
  </r>
  <r>
    <x v="2"/>
    <x v="3"/>
    <s v="신지섭"/>
    <x v="0"/>
    <n v="15"/>
  </r>
  <r>
    <x v="2"/>
    <x v="3"/>
    <s v="정승우"/>
    <x v="0"/>
    <n v="14"/>
  </r>
  <r>
    <x v="2"/>
    <x v="3"/>
    <s v="최병호"/>
    <x v="0"/>
    <n v="0"/>
  </r>
  <r>
    <x v="2"/>
    <x v="3"/>
    <s v="김다연"/>
    <x v="1"/>
    <n v="1"/>
  </r>
  <r>
    <x v="2"/>
    <x v="3"/>
    <s v="김다윤"/>
    <x v="1"/>
    <n v="1"/>
  </r>
  <r>
    <x v="2"/>
    <x v="3"/>
    <s v="이시연"/>
    <x v="1"/>
    <n v="0"/>
  </r>
  <r>
    <x v="2"/>
    <x v="4"/>
    <s v="손채영"/>
    <x v="0"/>
    <n v="13"/>
  </r>
  <r>
    <x v="2"/>
    <x v="4"/>
    <s v="윤지강"/>
    <x v="0"/>
    <n v="14"/>
  </r>
  <r>
    <x v="2"/>
    <x v="4"/>
    <s v="나예성"/>
    <x v="0"/>
    <n v="0"/>
  </r>
  <r>
    <x v="2"/>
    <x v="4"/>
    <s v="유성호"/>
    <x v="0"/>
    <n v="0"/>
  </r>
  <r>
    <x v="2"/>
    <x v="4"/>
    <s v="강연지"/>
    <x v="1"/>
    <n v="15"/>
  </r>
  <r>
    <x v="2"/>
    <x v="4"/>
    <s v="박소연"/>
    <x v="1"/>
    <n v="14"/>
  </r>
  <r>
    <x v="2"/>
    <x v="4"/>
    <s v="김수아"/>
    <x v="1"/>
    <n v="0"/>
  </r>
  <r>
    <x v="0"/>
    <x v="5"/>
    <s v="김주한"/>
    <x v="0"/>
    <n v="15"/>
  </r>
  <r>
    <x v="0"/>
    <x v="5"/>
    <s v="차숙원"/>
    <x v="0"/>
    <n v="14"/>
  </r>
  <r>
    <x v="0"/>
    <x v="5"/>
    <s v="박준영"/>
    <x v="0"/>
    <n v="13"/>
  </r>
  <r>
    <x v="0"/>
    <x v="5"/>
    <s v="안준혁"/>
    <x v="0"/>
    <n v="0"/>
  </r>
  <r>
    <x v="0"/>
    <x v="5"/>
    <s v="이지선"/>
    <x v="1"/>
    <n v="12"/>
  </r>
  <r>
    <x v="0"/>
    <x v="5"/>
    <s v="권지인"/>
    <x v="1"/>
    <n v="13"/>
  </r>
  <r>
    <x v="0"/>
    <x v="5"/>
    <s v="김시연"/>
    <x v="1"/>
    <n v="8"/>
  </r>
  <r>
    <x v="0"/>
    <x v="5"/>
    <s v="박지원"/>
    <x v="1"/>
    <n v="0"/>
  </r>
  <r>
    <x v="2"/>
    <x v="6"/>
    <s v="박지민"/>
    <x v="0"/>
    <n v="15"/>
  </r>
  <r>
    <x v="2"/>
    <x v="6"/>
    <s v="이지훈"/>
    <x v="0"/>
    <n v="12"/>
  </r>
  <r>
    <x v="2"/>
    <x v="6"/>
    <s v="김하람"/>
    <x v="0"/>
    <n v="15"/>
  </r>
  <r>
    <x v="2"/>
    <x v="6"/>
    <s v="이선녕"/>
    <x v="1"/>
    <n v="9"/>
  </r>
  <r>
    <x v="2"/>
    <x v="6"/>
    <s v="김하영"/>
    <x v="1"/>
    <n v="14"/>
  </r>
  <r>
    <x v="2"/>
    <x v="6"/>
    <s v="신유나"/>
    <x v="1"/>
    <n v="0"/>
  </r>
  <r>
    <x v="2"/>
    <x v="6"/>
    <s v="신유민"/>
    <x v="1"/>
    <n v="1"/>
  </r>
  <r>
    <x v="0"/>
    <x v="7"/>
    <s v="이지훈"/>
    <x v="0"/>
    <n v="15"/>
  </r>
  <r>
    <x v="0"/>
    <x v="7"/>
    <s v="김이수"/>
    <x v="0"/>
    <n v="9"/>
  </r>
  <r>
    <x v="0"/>
    <x v="7"/>
    <s v="김대훈"/>
    <x v="0"/>
    <n v="14"/>
  </r>
  <r>
    <x v="0"/>
    <x v="7"/>
    <s v="김민석"/>
    <x v="0"/>
    <n v="14"/>
  </r>
  <r>
    <x v="0"/>
    <x v="7"/>
    <s v="용성원"/>
    <x v="0"/>
    <n v="7"/>
  </r>
  <r>
    <x v="0"/>
    <x v="7"/>
    <s v="신주아"/>
    <x v="1"/>
    <n v="0"/>
  </r>
  <r>
    <x v="0"/>
    <x v="7"/>
    <s v="임채원"/>
    <x v="1"/>
    <n v="0"/>
  </r>
  <r>
    <x v="0"/>
    <x v="7"/>
    <s v="임정원"/>
    <x v="1"/>
    <n v="13"/>
  </r>
  <r>
    <x v="2"/>
    <x v="8"/>
    <s v="곽용빈"/>
    <x v="0"/>
    <n v="15"/>
  </r>
  <r>
    <x v="2"/>
    <x v="8"/>
    <s v="노석진"/>
    <x v="0"/>
    <n v="13"/>
  </r>
  <r>
    <x v="2"/>
    <x v="8"/>
    <s v="최경주"/>
    <x v="0"/>
    <n v="10"/>
  </r>
  <r>
    <x v="2"/>
    <x v="8"/>
    <s v="이창재"/>
    <x v="0"/>
    <n v="14"/>
  </r>
  <r>
    <x v="2"/>
    <x v="8"/>
    <s v="한정우"/>
    <x v="0"/>
    <n v="15"/>
  </r>
  <r>
    <x v="2"/>
    <x v="8"/>
    <s v="주민호"/>
    <x v="0"/>
    <n v="0"/>
  </r>
  <r>
    <x v="2"/>
    <x v="8"/>
    <s v="이승아"/>
    <x v="1"/>
    <n v="15"/>
  </r>
  <r>
    <x v="2"/>
    <x v="8"/>
    <s v="권한지"/>
    <x v="1"/>
    <n v="13"/>
  </r>
  <r>
    <x v="1"/>
    <x v="9"/>
    <s v="노재현"/>
    <x v="0"/>
    <n v="11"/>
  </r>
  <r>
    <x v="1"/>
    <x v="9"/>
    <s v="원가은"/>
    <x v="0"/>
    <n v="14"/>
  </r>
  <r>
    <x v="1"/>
    <x v="9"/>
    <s v="김서찬"/>
    <x v="0"/>
    <n v="13"/>
  </r>
  <r>
    <x v="1"/>
    <x v="9"/>
    <s v="김지환"/>
    <x v="0"/>
    <n v="15"/>
  </r>
  <r>
    <x v="1"/>
    <x v="9"/>
    <s v="모방원"/>
    <x v="0"/>
    <n v="0"/>
  </r>
  <r>
    <x v="1"/>
    <x v="10"/>
    <s v="김민준"/>
    <x v="0"/>
    <n v="10"/>
  </r>
  <r>
    <x v="1"/>
    <x v="10"/>
    <s v="전준호"/>
    <x v="0"/>
    <n v="15"/>
  </r>
  <r>
    <x v="1"/>
    <x v="10"/>
    <s v="오지원"/>
    <x v="1"/>
    <n v="0"/>
  </r>
  <r>
    <x v="1"/>
    <x v="10"/>
    <s v="최예진"/>
    <x v="1"/>
    <n v="15"/>
  </r>
  <r>
    <x v="1"/>
    <x v="10"/>
    <s v="김우인"/>
    <x v="1"/>
    <n v="10"/>
  </r>
  <r>
    <x v="1"/>
    <x v="10"/>
    <s v="이종선"/>
    <x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2" cacheId="5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G2:N22" firstHeaderRow="1" firstDataRow="3" firstDataCol="2"/>
  <pivotFields count="5">
    <pivotField axis="axisRow" compact="0" subtotalTop="0" showAll="0">
      <items count="4">
        <item x="1"/>
        <item x="2"/>
        <item x="0"/>
        <item t="default"/>
      </items>
    </pivotField>
    <pivotField axis="axisRow" compact="0" subtotalTop="0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compact="0" subtotalTop="0" showAll="0"/>
    <pivotField axis="axisCol" compact="0" subtotalTop="0" showAll="0">
      <items count="3">
        <item x="0"/>
        <item x="1"/>
        <item t="default"/>
      </items>
    </pivotField>
    <pivotField dataField="1" compact="0" subtotalTop="0" showAll="0"/>
  </pivotFields>
  <rowFields count="2">
    <field x="0"/>
    <field x="1"/>
  </rowFields>
  <rowItems count="18">
    <i>
      <x/>
    </i>
    <i r="1">
      <x v="1"/>
    </i>
    <i r="1">
      <x v="9"/>
    </i>
    <i r="1">
      <x v="10"/>
    </i>
    <i t="default">
      <x/>
    </i>
    <i>
      <x v="1"/>
    </i>
    <i r="1">
      <x v="3"/>
    </i>
    <i r="1">
      <x v="4"/>
    </i>
    <i r="1">
      <x v="6"/>
    </i>
    <i r="1">
      <x v="8"/>
    </i>
    <i t="default">
      <x v="1"/>
    </i>
    <i>
      <x v="2"/>
    </i>
    <i r="1">
      <x/>
    </i>
    <i r="1">
      <x v="2"/>
    </i>
    <i r="1">
      <x v="5"/>
    </i>
    <i r="1">
      <x v="7"/>
    </i>
    <i t="default">
      <x v="2"/>
    </i>
    <i t="grand">
      <x/>
    </i>
  </rowItems>
  <colFields count="2">
    <field x="3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 : 출석수" fld="4" subtotal="average" baseField="1" baseItem="8" numFmtId="185"/>
    <dataField name="학생수" fld="2" subtotal="count" baseField="0" baseItem="0"/>
  </dataField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F14"/>
  <sheetViews>
    <sheetView tabSelected="1" workbookViewId="0"/>
  </sheetViews>
  <sheetFormatPr defaultRowHeight="16.5"/>
  <cols>
    <col min="2" max="2" width="7.5" customWidth="1"/>
    <col min="3" max="3" width="11" customWidth="1"/>
    <col min="4" max="5" width="7.5" customWidth="1"/>
    <col min="6" max="6" width="9.375" customWidth="1"/>
  </cols>
  <sheetData>
    <row r="3" spans="2:6">
      <c r="B3" s="91" t="s">
        <v>70</v>
      </c>
      <c r="C3" s="92" t="s">
        <v>1</v>
      </c>
      <c r="D3" s="92" t="s">
        <v>0</v>
      </c>
      <c r="E3" s="92" t="s">
        <v>2</v>
      </c>
      <c r="F3" s="93" t="s">
        <v>3</v>
      </c>
    </row>
    <row r="4" spans="2:6">
      <c r="B4" s="94" t="s">
        <v>72</v>
      </c>
      <c r="C4" s="95" t="s">
        <v>71</v>
      </c>
      <c r="D4" s="95">
        <v>3</v>
      </c>
      <c r="E4" s="95" t="s">
        <v>73</v>
      </c>
      <c r="F4" s="96">
        <v>3</v>
      </c>
    </row>
    <row r="5" spans="2:6">
      <c r="B5" s="97" t="s">
        <v>72</v>
      </c>
      <c r="C5" s="98" t="s">
        <v>71</v>
      </c>
      <c r="D5" s="98">
        <v>3</v>
      </c>
      <c r="E5" s="98" t="s">
        <v>74</v>
      </c>
      <c r="F5" s="99">
        <v>0</v>
      </c>
    </row>
    <row r="6" spans="2:6">
      <c r="B6" s="94" t="s">
        <v>72</v>
      </c>
      <c r="C6" s="95" t="s">
        <v>76</v>
      </c>
      <c r="D6" s="95">
        <v>1</v>
      </c>
      <c r="E6" s="95" t="s">
        <v>77</v>
      </c>
      <c r="F6" s="96">
        <v>0</v>
      </c>
    </row>
    <row r="7" spans="2:6">
      <c r="B7" s="97" t="s">
        <v>72</v>
      </c>
      <c r="C7" s="98" t="s">
        <v>78</v>
      </c>
      <c r="D7" s="98">
        <v>3</v>
      </c>
      <c r="E7" s="98" t="s">
        <v>79</v>
      </c>
      <c r="F7" s="99">
        <v>0</v>
      </c>
    </row>
    <row r="8" spans="2:6">
      <c r="B8" s="94" t="s">
        <v>72</v>
      </c>
      <c r="C8" s="95" t="s">
        <v>80</v>
      </c>
      <c r="D8" s="95">
        <v>2</v>
      </c>
      <c r="E8" s="95" t="s">
        <v>81</v>
      </c>
      <c r="F8" s="96">
        <v>2</v>
      </c>
    </row>
    <row r="9" spans="2:6">
      <c r="B9" s="97" t="s">
        <v>72</v>
      </c>
      <c r="C9" s="98" t="s">
        <v>80</v>
      </c>
      <c r="D9" s="98">
        <v>2</v>
      </c>
      <c r="E9" s="98" t="s">
        <v>82</v>
      </c>
      <c r="F9" s="99">
        <v>0</v>
      </c>
    </row>
    <row r="10" spans="2:6">
      <c r="B10" s="94" t="s">
        <v>72</v>
      </c>
      <c r="C10" s="95" t="s">
        <v>83</v>
      </c>
      <c r="D10" s="95">
        <v>2</v>
      </c>
      <c r="E10" s="95" t="s">
        <v>85</v>
      </c>
      <c r="F10" s="96">
        <v>0</v>
      </c>
    </row>
    <row r="11" spans="2:6">
      <c r="B11" s="97" t="s">
        <v>72</v>
      </c>
      <c r="C11" s="98" t="s">
        <v>83</v>
      </c>
      <c r="D11" s="98">
        <v>2</v>
      </c>
      <c r="E11" s="98" t="s">
        <v>84</v>
      </c>
      <c r="F11" s="99">
        <v>0</v>
      </c>
    </row>
    <row r="12" spans="2:6">
      <c r="B12" s="94" t="s">
        <v>72</v>
      </c>
      <c r="C12" s="95" t="s">
        <v>86</v>
      </c>
      <c r="D12" s="95">
        <v>3</v>
      </c>
      <c r="E12" s="95" t="s">
        <v>87</v>
      </c>
      <c r="F12" s="96">
        <v>0</v>
      </c>
    </row>
    <row r="13" spans="2:6">
      <c r="B13" s="97" t="s">
        <v>72</v>
      </c>
      <c r="C13" s="98" t="s">
        <v>90</v>
      </c>
      <c r="D13" s="98">
        <v>2</v>
      </c>
      <c r="E13" s="98" t="s">
        <v>91</v>
      </c>
      <c r="F13" s="99">
        <v>0</v>
      </c>
    </row>
    <row r="14" spans="2:6">
      <c r="B14" s="88" t="s">
        <v>72</v>
      </c>
      <c r="C14" s="89" t="s">
        <v>92</v>
      </c>
      <c r="D14" s="89">
        <v>1</v>
      </c>
      <c r="E14" s="89" t="s">
        <v>93</v>
      </c>
      <c r="F14" s="90">
        <v>0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AB31"/>
  <sheetViews>
    <sheetView workbookViewId="0"/>
  </sheetViews>
  <sheetFormatPr defaultRowHeight="16.5"/>
  <cols>
    <col min="1" max="1" width="2.625" customWidth="1"/>
    <col min="2" max="2" width="5.25" bestFit="1" customWidth="1"/>
    <col min="5" max="5" width="4.25" bestFit="1" customWidth="1"/>
    <col min="6" max="19" width="5.625" customWidth="1"/>
    <col min="20" max="20" width="7.125" style="23" bestFit="1" customWidth="1"/>
  </cols>
  <sheetData>
    <row r="3" spans="2:28">
      <c r="B3" s="1" t="s">
        <v>0</v>
      </c>
      <c r="C3" s="2" t="s">
        <v>1</v>
      </c>
      <c r="D3" s="2" t="s">
        <v>2</v>
      </c>
      <c r="E3" s="3">
        <v>42432</v>
      </c>
      <c r="F3" s="3">
        <v>42439</v>
      </c>
      <c r="G3" s="3">
        <v>42446</v>
      </c>
      <c r="H3" s="3">
        <v>42453</v>
      </c>
      <c r="I3" s="3">
        <v>42460</v>
      </c>
      <c r="J3" s="3">
        <v>42467</v>
      </c>
      <c r="K3" s="3">
        <v>42474</v>
      </c>
      <c r="L3" s="3">
        <v>42481</v>
      </c>
      <c r="M3" s="3">
        <v>42488</v>
      </c>
      <c r="N3" s="3">
        <v>42495</v>
      </c>
      <c r="O3" s="3">
        <v>42502</v>
      </c>
      <c r="P3" s="3">
        <v>42509</v>
      </c>
      <c r="Q3" s="3">
        <v>42516</v>
      </c>
      <c r="R3" s="3">
        <v>42523</v>
      </c>
      <c r="S3" s="3">
        <v>42530</v>
      </c>
      <c r="T3" s="4" t="s">
        <v>3</v>
      </c>
      <c r="V3" t="s">
        <v>138</v>
      </c>
      <c r="X3" s="1" t="s">
        <v>0</v>
      </c>
      <c r="Y3" s="2" t="s">
        <v>1</v>
      </c>
      <c r="Z3" s="2" t="s">
        <v>2</v>
      </c>
      <c r="AA3" s="3">
        <v>42530</v>
      </c>
      <c r="AB3" s="4" t="s">
        <v>3</v>
      </c>
    </row>
    <row r="4" spans="2:28">
      <c r="B4" s="5">
        <v>1</v>
      </c>
      <c r="C4" s="6" t="s">
        <v>4</v>
      </c>
      <c r="D4" s="5" t="s">
        <v>5</v>
      </c>
      <c r="E4" s="7" t="s">
        <v>6</v>
      </c>
      <c r="F4" s="7" t="s">
        <v>6</v>
      </c>
      <c r="G4" s="7" t="s">
        <v>6</v>
      </c>
      <c r="H4" s="7" t="s">
        <v>6</v>
      </c>
      <c r="I4" s="7" t="s">
        <v>6</v>
      </c>
      <c r="J4" s="7" t="s">
        <v>6</v>
      </c>
      <c r="K4" s="7" t="s">
        <v>6</v>
      </c>
      <c r="L4" s="7" t="s">
        <v>6</v>
      </c>
      <c r="M4" s="7" t="s">
        <v>6</v>
      </c>
      <c r="N4" s="7" t="s">
        <v>6</v>
      </c>
      <c r="O4" s="7" t="s">
        <v>6</v>
      </c>
      <c r="P4" s="7" t="s">
        <v>6</v>
      </c>
      <c r="Q4" s="7" t="s">
        <v>6</v>
      </c>
      <c r="R4" s="7" t="s">
        <v>6</v>
      </c>
      <c r="S4" s="7" t="s">
        <v>6</v>
      </c>
      <c r="T4" s="8">
        <f t="shared" ref="T4:T31" si="0">COUNTA(E4:S4)</f>
        <v>15</v>
      </c>
      <c r="V4" t="b">
        <f>OR(T4&lt;MEDIAN($T$4:$T$31),ISBLANK(S4))</f>
        <v>0</v>
      </c>
      <c r="X4" s="9">
        <v>1</v>
      </c>
      <c r="Y4" s="10" t="s">
        <v>7</v>
      </c>
      <c r="Z4" s="11" t="s">
        <v>8</v>
      </c>
      <c r="AA4" s="7" t="s">
        <v>9</v>
      </c>
      <c r="AB4" s="84">
        <v>13</v>
      </c>
    </row>
    <row r="5" spans="2:28">
      <c r="B5" s="9">
        <v>1</v>
      </c>
      <c r="C5" s="10" t="s">
        <v>7</v>
      </c>
      <c r="D5" s="11" t="s">
        <v>8</v>
      </c>
      <c r="E5" s="7" t="s">
        <v>9</v>
      </c>
      <c r="F5" s="7" t="s">
        <v>9</v>
      </c>
      <c r="G5" s="7"/>
      <c r="H5" s="7" t="s">
        <v>9</v>
      </c>
      <c r="I5" s="7" t="s">
        <v>9</v>
      </c>
      <c r="J5" s="7" t="s">
        <v>9</v>
      </c>
      <c r="K5" s="7" t="s">
        <v>9</v>
      </c>
      <c r="L5" s="7" t="s">
        <v>9</v>
      </c>
      <c r="M5" s="7"/>
      <c r="N5" s="7" t="s">
        <v>9</v>
      </c>
      <c r="O5" s="7" t="s">
        <v>9</v>
      </c>
      <c r="P5" s="7" t="s">
        <v>9</v>
      </c>
      <c r="Q5" s="7" t="s">
        <v>9</v>
      </c>
      <c r="R5" s="7" t="s">
        <v>9</v>
      </c>
      <c r="S5" s="7" t="s">
        <v>9</v>
      </c>
      <c r="T5" s="8">
        <f t="shared" si="0"/>
        <v>13</v>
      </c>
      <c r="X5" s="5">
        <v>1</v>
      </c>
      <c r="Y5" s="6" t="s">
        <v>7</v>
      </c>
      <c r="Z5" s="5" t="s">
        <v>10</v>
      </c>
      <c r="AA5" s="7" t="s">
        <v>9</v>
      </c>
      <c r="AB5" s="84">
        <v>12</v>
      </c>
    </row>
    <row r="6" spans="2:28">
      <c r="B6" s="5">
        <v>1</v>
      </c>
      <c r="C6" s="6" t="s">
        <v>7</v>
      </c>
      <c r="D6" s="5" t="s">
        <v>10</v>
      </c>
      <c r="E6" s="7"/>
      <c r="F6" s="7" t="s">
        <v>9</v>
      </c>
      <c r="G6" s="7" t="s">
        <v>9</v>
      </c>
      <c r="H6" s="7" t="s">
        <v>9</v>
      </c>
      <c r="I6" s="7" t="s">
        <v>9</v>
      </c>
      <c r="J6" s="7" t="s">
        <v>9</v>
      </c>
      <c r="K6" s="7" t="s">
        <v>9</v>
      </c>
      <c r="L6" s="7" t="s">
        <v>9</v>
      </c>
      <c r="M6" s="7" t="s">
        <v>9</v>
      </c>
      <c r="N6" s="7" t="s">
        <v>9</v>
      </c>
      <c r="O6" s="7"/>
      <c r="P6" s="7" t="s">
        <v>9</v>
      </c>
      <c r="Q6" s="7" t="s">
        <v>9</v>
      </c>
      <c r="R6" s="7"/>
      <c r="S6" s="7" t="s">
        <v>9</v>
      </c>
      <c r="T6" s="8">
        <f t="shared" si="0"/>
        <v>12</v>
      </c>
      <c r="X6" s="12">
        <v>1</v>
      </c>
      <c r="Y6" s="13" t="s">
        <v>11</v>
      </c>
      <c r="Z6" s="12" t="s">
        <v>14</v>
      </c>
      <c r="AA6" s="7" t="s">
        <v>9</v>
      </c>
      <c r="AB6" s="84">
        <v>13</v>
      </c>
    </row>
    <row r="7" spans="2:28">
      <c r="B7" s="12">
        <v>1</v>
      </c>
      <c r="C7" s="13" t="s">
        <v>11</v>
      </c>
      <c r="D7" s="14" t="s">
        <v>12</v>
      </c>
      <c r="E7" s="7" t="s">
        <v>9</v>
      </c>
      <c r="F7" s="7" t="s">
        <v>9</v>
      </c>
      <c r="G7" s="7" t="s">
        <v>9</v>
      </c>
      <c r="H7" s="7" t="s">
        <v>9</v>
      </c>
      <c r="I7" s="7" t="s">
        <v>9</v>
      </c>
      <c r="J7" s="7" t="s">
        <v>9</v>
      </c>
      <c r="K7" s="7" t="s">
        <v>9</v>
      </c>
      <c r="L7" s="7" t="s">
        <v>9</v>
      </c>
      <c r="M7" s="7" t="s">
        <v>9</v>
      </c>
      <c r="N7" s="7" t="s">
        <v>9</v>
      </c>
      <c r="O7" s="7" t="s">
        <v>9</v>
      </c>
      <c r="P7" s="7" t="s">
        <v>9</v>
      </c>
      <c r="Q7" s="7" t="s">
        <v>9</v>
      </c>
      <c r="R7" s="7" t="s">
        <v>9</v>
      </c>
      <c r="S7" s="7" t="s">
        <v>9</v>
      </c>
      <c r="T7" s="8">
        <f t="shared" si="0"/>
        <v>15</v>
      </c>
      <c r="X7" s="13">
        <v>1</v>
      </c>
      <c r="Y7" s="13" t="s">
        <v>11</v>
      </c>
      <c r="Z7" s="12" t="s">
        <v>15</v>
      </c>
      <c r="AA7" s="7" t="s">
        <v>9</v>
      </c>
      <c r="AB7" s="84">
        <v>11</v>
      </c>
    </row>
    <row r="8" spans="2:28">
      <c r="B8" s="12">
        <v>1</v>
      </c>
      <c r="C8" s="13" t="s">
        <v>11</v>
      </c>
      <c r="D8" s="12" t="s">
        <v>13</v>
      </c>
      <c r="E8" s="7"/>
      <c r="F8" s="7" t="s">
        <v>9</v>
      </c>
      <c r="G8" s="7" t="s">
        <v>9</v>
      </c>
      <c r="H8" s="7" t="s">
        <v>9</v>
      </c>
      <c r="I8" s="7" t="s">
        <v>9</v>
      </c>
      <c r="J8" s="7" t="s">
        <v>9</v>
      </c>
      <c r="K8" s="7" t="s">
        <v>9</v>
      </c>
      <c r="L8" s="7" t="s">
        <v>9</v>
      </c>
      <c r="M8" s="7" t="s">
        <v>9</v>
      </c>
      <c r="N8" s="7" t="s">
        <v>9</v>
      </c>
      <c r="O8" s="7" t="s">
        <v>9</v>
      </c>
      <c r="P8" s="7" t="s">
        <v>9</v>
      </c>
      <c r="Q8" s="7" t="s">
        <v>9</v>
      </c>
      <c r="R8" s="7" t="s">
        <v>9</v>
      </c>
      <c r="S8" s="7" t="s">
        <v>9</v>
      </c>
      <c r="T8" s="8">
        <f t="shared" si="0"/>
        <v>14</v>
      </c>
      <c r="X8" s="15">
        <v>1</v>
      </c>
      <c r="Y8" s="15" t="s">
        <v>16</v>
      </c>
      <c r="Z8" s="15" t="s">
        <v>19</v>
      </c>
      <c r="AA8" s="16" t="s">
        <v>9</v>
      </c>
      <c r="AB8" s="84">
        <v>10</v>
      </c>
    </row>
    <row r="9" spans="2:28">
      <c r="B9" s="12">
        <v>1</v>
      </c>
      <c r="C9" s="13" t="s">
        <v>11</v>
      </c>
      <c r="D9" s="12" t="s">
        <v>14</v>
      </c>
      <c r="E9" s="7" t="s">
        <v>9</v>
      </c>
      <c r="F9" s="7" t="s">
        <v>9</v>
      </c>
      <c r="G9" s="7" t="s">
        <v>9</v>
      </c>
      <c r="H9" s="7" t="s">
        <v>9</v>
      </c>
      <c r="I9" s="7" t="s">
        <v>9</v>
      </c>
      <c r="J9" s="7" t="s">
        <v>9</v>
      </c>
      <c r="K9" s="7"/>
      <c r="L9" s="7"/>
      <c r="M9" s="7" t="s">
        <v>9</v>
      </c>
      <c r="N9" s="7" t="s">
        <v>9</v>
      </c>
      <c r="O9" s="7" t="s">
        <v>9</v>
      </c>
      <c r="P9" s="7" t="s">
        <v>9</v>
      </c>
      <c r="Q9" s="7" t="s">
        <v>9</v>
      </c>
      <c r="R9" s="7" t="s">
        <v>9</v>
      </c>
      <c r="S9" s="7" t="s">
        <v>9</v>
      </c>
      <c r="T9" s="8">
        <f t="shared" si="0"/>
        <v>13</v>
      </c>
      <c r="X9" s="12">
        <v>2</v>
      </c>
      <c r="Y9" s="13" t="s">
        <v>20</v>
      </c>
      <c r="Z9" s="12" t="s">
        <v>22</v>
      </c>
      <c r="AA9" s="7"/>
      <c r="AB9" s="84">
        <v>13</v>
      </c>
    </row>
    <row r="10" spans="2:28">
      <c r="B10" s="13">
        <v>1</v>
      </c>
      <c r="C10" s="13" t="s">
        <v>11</v>
      </c>
      <c r="D10" s="12" t="s">
        <v>15</v>
      </c>
      <c r="E10" s="7"/>
      <c r="F10" s="7" t="s">
        <v>9</v>
      </c>
      <c r="G10" s="7" t="s">
        <v>9</v>
      </c>
      <c r="H10" s="7" t="s">
        <v>9</v>
      </c>
      <c r="I10" s="7"/>
      <c r="J10" s="7" t="s">
        <v>9</v>
      </c>
      <c r="K10" s="7" t="s">
        <v>9</v>
      </c>
      <c r="L10" s="7" t="s">
        <v>9</v>
      </c>
      <c r="M10" s="7" t="s">
        <v>9</v>
      </c>
      <c r="N10" s="7" t="s">
        <v>9</v>
      </c>
      <c r="O10" s="7"/>
      <c r="P10" s="7" t="s">
        <v>9</v>
      </c>
      <c r="Q10" s="7" t="s">
        <v>9</v>
      </c>
      <c r="R10" s="7"/>
      <c r="S10" s="7" t="s">
        <v>9</v>
      </c>
      <c r="T10" s="8">
        <f t="shared" si="0"/>
        <v>11</v>
      </c>
      <c r="X10" s="5">
        <v>2</v>
      </c>
      <c r="Y10" s="18" t="s">
        <v>23</v>
      </c>
      <c r="Z10" s="5" t="s">
        <v>26</v>
      </c>
      <c r="AA10" s="7"/>
      <c r="AB10" s="84">
        <v>13</v>
      </c>
    </row>
    <row r="11" spans="2:28">
      <c r="B11" s="15">
        <v>1</v>
      </c>
      <c r="C11" s="15" t="s">
        <v>16</v>
      </c>
      <c r="D11" s="15" t="s">
        <v>17</v>
      </c>
      <c r="E11" s="16" t="s">
        <v>9</v>
      </c>
      <c r="F11" s="16" t="s">
        <v>9</v>
      </c>
      <c r="G11" s="16" t="s">
        <v>9</v>
      </c>
      <c r="H11" s="16" t="s">
        <v>9</v>
      </c>
      <c r="I11" s="16" t="s">
        <v>9</v>
      </c>
      <c r="J11" s="16" t="s">
        <v>9</v>
      </c>
      <c r="K11" s="16" t="s">
        <v>9</v>
      </c>
      <c r="L11" s="16" t="s">
        <v>9</v>
      </c>
      <c r="M11" s="16" t="s">
        <v>9</v>
      </c>
      <c r="N11" s="16" t="s">
        <v>9</v>
      </c>
      <c r="O11" s="16" t="s">
        <v>9</v>
      </c>
      <c r="P11" s="16" t="s">
        <v>9</v>
      </c>
      <c r="Q11" s="16" t="s">
        <v>9</v>
      </c>
      <c r="R11" s="16" t="s">
        <v>9</v>
      </c>
      <c r="S11" s="16" t="s">
        <v>9</v>
      </c>
      <c r="T11" s="8">
        <f t="shared" si="0"/>
        <v>15</v>
      </c>
      <c r="X11" s="5">
        <v>2</v>
      </c>
      <c r="Y11" s="18" t="s">
        <v>23</v>
      </c>
      <c r="Z11" s="5" t="s">
        <v>27</v>
      </c>
      <c r="AA11" s="7"/>
      <c r="AB11" s="84">
        <v>12</v>
      </c>
    </row>
    <row r="12" spans="2:28">
      <c r="B12" s="15">
        <v>1</v>
      </c>
      <c r="C12" s="15" t="s">
        <v>16</v>
      </c>
      <c r="D12" s="15" t="s">
        <v>18</v>
      </c>
      <c r="E12" s="16" t="s">
        <v>9</v>
      </c>
      <c r="F12" s="16" t="s">
        <v>9</v>
      </c>
      <c r="G12" s="16" t="s">
        <v>9</v>
      </c>
      <c r="H12" s="16" t="s">
        <v>9</v>
      </c>
      <c r="I12" s="16" t="s">
        <v>9</v>
      </c>
      <c r="J12" s="16" t="s">
        <v>9</v>
      </c>
      <c r="K12" s="16" t="s">
        <v>9</v>
      </c>
      <c r="L12" s="16" t="s">
        <v>9</v>
      </c>
      <c r="M12" s="16" t="s">
        <v>9</v>
      </c>
      <c r="N12" s="16" t="s">
        <v>9</v>
      </c>
      <c r="O12" s="16" t="s">
        <v>9</v>
      </c>
      <c r="P12" s="16" t="s">
        <v>9</v>
      </c>
      <c r="Q12" s="16" t="s">
        <v>9</v>
      </c>
      <c r="R12" s="16" t="s">
        <v>9</v>
      </c>
      <c r="S12" s="16" t="s">
        <v>9</v>
      </c>
      <c r="T12" s="8">
        <f t="shared" si="0"/>
        <v>15</v>
      </c>
      <c r="X12" s="15">
        <v>2</v>
      </c>
      <c r="Y12" s="19" t="s">
        <v>28</v>
      </c>
      <c r="Z12" s="15" t="s">
        <v>32</v>
      </c>
      <c r="AA12" s="7" t="s">
        <v>9</v>
      </c>
      <c r="AB12" s="84">
        <v>12</v>
      </c>
    </row>
    <row r="13" spans="2:28">
      <c r="B13" s="15">
        <v>1</v>
      </c>
      <c r="C13" s="15" t="s">
        <v>16</v>
      </c>
      <c r="D13" s="15" t="s">
        <v>19</v>
      </c>
      <c r="E13" s="16" t="s">
        <v>9</v>
      </c>
      <c r="F13" s="16" t="s">
        <v>9</v>
      </c>
      <c r="G13" s="16" t="s">
        <v>9</v>
      </c>
      <c r="H13" s="16"/>
      <c r="I13" s="16" t="s">
        <v>9</v>
      </c>
      <c r="J13" s="16"/>
      <c r="K13" s="16"/>
      <c r="L13" s="16"/>
      <c r="M13" s="16" t="s">
        <v>9</v>
      </c>
      <c r="N13" s="16"/>
      <c r="O13" s="16" t="s">
        <v>9</v>
      </c>
      <c r="P13" s="16" t="s">
        <v>9</v>
      </c>
      <c r="Q13" s="16" t="s">
        <v>9</v>
      </c>
      <c r="R13" s="16" t="s">
        <v>9</v>
      </c>
      <c r="S13" s="16" t="s">
        <v>9</v>
      </c>
      <c r="T13" s="8">
        <f t="shared" si="0"/>
        <v>10</v>
      </c>
      <c r="X13" s="15">
        <v>2</v>
      </c>
      <c r="Y13" s="19" t="s">
        <v>28</v>
      </c>
      <c r="Z13" s="15" t="s">
        <v>33</v>
      </c>
      <c r="AA13" s="7" t="s">
        <v>9</v>
      </c>
      <c r="AB13" s="84">
        <v>9</v>
      </c>
    </row>
    <row r="14" spans="2:28">
      <c r="B14" s="13">
        <v>2</v>
      </c>
      <c r="C14" s="13" t="s">
        <v>20</v>
      </c>
      <c r="D14" s="12" t="s">
        <v>21</v>
      </c>
      <c r="E14" s="7" t="s">
        <v>9</v>
      </c>
      <c r="F14" s="7" t="s">
        <v>9</v>
      </c>
      <c r="G14" s="7" t="s">
        <v>9</v>
      </c>
      <c r="H14" s="7" t="s">
        <v>9</v>
      </c>
      <c r="I14" s="7" t="s">
        <v>9</v>
      </c>
      <c r="J14" s="7" t="s">
        <v>9</v>
      </c>
      <c r="K14" s="7" t="s">
        <v>9</v>
      </c>
      <c r="L14" s="7" t="s">
        <v>9</v>
      </c>
      <c r="M14" s="7" t="s">
        <v>9</v>
      </c>
      <c r="N14" s="7" t="s">
        <v>9</v>
      </c>
      <c r="O14" s="7" t="s">
        <v>9</v>
      </c>
      <c r="P14" s="7" t="s">
        <v>9</v>
      </c>
      <c r="Q14" s="7" t="s">
        <v>9</v>
      </c>
      <c r="R14" s="7" t="s">
        <v>9</v>
      </c>
      <c r="S14" s="7" t="s">
        <v>9</v>
      </c>
      <c r="T14" s="8">
        <f t="shared" si="0"/>
        <v>15</v>
      </c>
      <c r="X14" s="21">
        <v>2</v>
      </c>
      <c r="Y14" s="20" t="s">
        <v>34</v>
      </c>
      <c r="Z14" s="21" t="s">
        <v>39</v>
      </c>
      <c r="AA14" s="7" t="s">
        <v>9</v>
      </c>
      <c r="AB14" s="84">
        <v>13</v>
      </c>
    </row>
    <row r="15" spans="2:28">
      <c r="B15" s="12">
        <v>2</v>
      </c>
      <c r="C15" s="13" t="s">
        <v>20</v>
      </c>
      <c r="D15" s="12" t="s">
        <v>22</v>
      </c>
      <c r="E15" s="7" t="s">
        <v>9</v>
      </c>
      <c r="F15" s="7" t="s">
        <v>9</v>
      </c>
      <c r="G15" s="7" t="s">
        <v>9</v>
      </c>
      <c r="H15" s="7" t="s">
        <v>9</v>
      </c>
      <c r="I15" s="7" t="s">
        <v>9</v>
      </c>
      <c r="J15" s="7"/>
      <c r="K15" s="7" t="s">
        <v>9</v>
      </c>
      <c r="L15" s="7" t="s">
        <v>9</v>
      </c>
      <c r="M15" s="7" t="s">
        <v>9</v>
      </c>
      <c r="N15" s="7" t="s">
        <v>9</v>
      </c>
      <c r="O15" s="7" t="s">
        <v>9</v>
      </c>
      <c r="P15" s="7" t="s">
        <v>9</v>
      </c>
      <c r="Q15" s="7" t="s">
        <v>9</v>
      </c>
      <c r="R15" s="7" t="s">
        <v>9</v>
      </c>
      <c r="S15" s="7"/>
      <c r="T15" s="8">
        <f t="shared" si="0"/>
        <v>13</v>
      </c>
      <c r="X15" s="2">
        <v>2</v>
      </c>
      <c r="Y15" s="20" t="s">
        <v>34</v>
      </c>
      <c r="Z15" s="22" t="s">
        <v>40</v>
      </c>
      <c r="AA15" s="7" t="s">
        <v>9</v>
      </c>
      <c r="AB15" s="84">
        <v>13</v>
      </c>
    </row>
    <row r="16" spans="2:28">
      <c r="B16" s="17">
        <v>2</v>
      </c>
      <c r="C16" s="18" t="s">
        <v>23</v>
      </c>
      <c r="D16" s="5" t="s">
        <v>24</v>
      </c>
      <c r="E16" s="7" t="s">
        <v>9</v>
      </c>
      <c r="F16" s="7" t="s">
        <v>9</v>
      </c>
      <c r="G16" s="7" t="s">
        <v>9</v>
      </c>
      <c r="H16" s="7" t="s">
        <v>9</v>
      </c>
      <c r="I16" s="7" t="s">
        <v>9</v>
      </c>
      <c r="J16" s="7" t="s">
        <v>9</v>
      </c>
      <c r="K16" s="7" t="s">
        <v>9</v>
      </c>
      <c r="L16" s="7" t="s">
        <v>9</v>
      </c>
      <c r="M16" s="7" t="s">
        <v>9</v>
      </c>
      <c r="N16" s="7" t="s">
        <v>9</v>
      </c>
      <c r="O16" s="7" t="s">
        <v>9</v>
      </c>
      <c r="P16" s="7" t="s">
        <v>9</v>
      </c>
      <c r="Q16" s="7" t="s">
        <v>9</v>
      </c>
      <c r="R16" s="7" t="s">
        <v>9</v>
      </c>
      <c r="S16" s="7" t="s">
        <v>9</v>
      </c>
      <c r="T16" s="8">
        <f t="shared" si="0"/>
        <v>15</v>
      </c>
      <c r="X16" s="21">
        <v>2</v>
      </c>
      <c r="Y16" s="20" t="s">
        <v>34</v>
      </c>
      <c r="Z16" s="21" t="s">
        <v>41</v>
      </c>
      <c r="AA16" s="7" t="s">
        <v>9</v>
      </c>
      <c r="AB16" s="84">
        <v>10</v>
      </c>
    </row>
    <row r="17" spans="2:20">
      <c r="B17" s="5">
        <v>2</v>
      </c>
      <c r="C17" s="18" t="s">
        <v>23</v>
      </c>
      <c r="D17" s="5" t="s">
        <v>25</v>
      </c>
      <c r="E17" s="7" t="s">
        <v>9</v>
      </c>
      <c r="F17" s="7" t="s">
        <v>9</v>
      </c>
      <c r="G17" s="7" t="s">
        <v>9</v>
      </c>
      <c r="H17" s="7" t="s">
        <v>9</v>
      </c>
      <c r="I17" s="7" t="s">
        <v>9</v>
      </c>
      <c r="J17" s="7" t="s">
        <v>9</v>
      </c>
      <c r="K17" s="7" t="s">
        <v>9</v>
      </c>
      <c r="L17" s="7" t="s">
        <v>9</v>
      </c>
      <c r="M17" s="7"/>
      <c r="N17" s="7" t="s">
        <v>9</v>
      </c>
      <c r="O17" s="7" t="s">
        <v>9</v>
      </c>
      <c r="P17" s="7" t="s">
        <v>9</v>
      </c>
      <c r="Q17" s="7" t="s">
        <v>9</v>
      </c>
      <c r="R17" s="7" t="s">
        <v>9</v>
      </c>
      <c r="S17" s="7" t="s">
        <v>9</v>
      </c>
      <c r="T17" s="8">
        <f t="shared" si="0"/>
        <v>14</v>
      </c>
    </row>
    <row r="18" spans="2:20">
      <c r="B18" s="5">
        <v>2</v>
      </c>
      <c r="C18" s="18" t="s">
        <v>23</v>
      </c>
      <c r="D18" s="5" t="s">
        <v>26</v>
      </c>
      <c r="E18" s="7" t="s">
        <v>9</v>
      </c>
      <c r="F18" s="7" t="s">
        <v>9</v>
      </c>
      <c r="G18" s="7" t="s">
        <v>9</v>
      </c>
      <c r="H18" s="7" t="s">
        <v>9</v>
      </c>
      <c r="I18" s="7" t="s">
        <v>9</v>
      </c>
      <c r="J18" s="7" t="s">
        <v>9</v>
      </c>
      <c r="K18" s="7" t="s">
        <v>9</v>
      </c>
      <c r="L18" s="7" t="s">
        <v>9</v>
      </c>
      <c r="M18" s="7" t="s">
        <v>9</v>
      </c>
      <c r="N18" s="7" t="s">
        <v>9</v>
      </c>
      <c r="O18" s="7" t="s">
        <v>9</v>
      </c>
      <c r="P18" s="7"/>
      <c r="Q18" s="7" t="s">
        <v>9</v>
      </c>
      <c r="R18" s="7" t="s">
        <v>9</v>
      </c>
      <c r="S18" s="7"/>
      <c r="T18" s="8">
        <f t="shared" si="0"/>
        <v>13</v>
      </c>
    </row>
    <row r="19" spans="2:20">
      <c r="B19" s="5">
        <v>2</v>
      </c>
      <c r="C19" s="18" t="s">
        <v>23</v>
      </c>
      <c r="D19" s="5" t="s">
        <v>27</v>
      </c>
      <c r="E19" s="7" t="s">
        <v>9</v>
      </c>
      <c r="F19" s="7" t="s">
        <v>9</v>
      </c>
      <c r="G19" s="7" t="s">
        <v>9</v>
      </c>
      <c r="H19" s="7" t="s">
        <v>9</v>
      </c>
      <c r="I19" s="7" t="s">
        <v>9</v>
      </c>
      <c r="J19" s="7"/>
      <c r="K19" s="7" t="s">
        <v>9</v>
      </c>
      <c r="L19" s="7" t="s">
        <v>9</v>
      </c>
      <c r="M19" s="7"/>
      <c r="N19" s="7" t="s">
        <v>9</v>
      </c>
      <c r="O19" s="7" t="s">
        <v>9</v>
      </c>
      <c r="P19" s="7" t="s">
        <v>9</v>
      </c>
      <c r="Q19" s="7" t="s">
        <v>9</v>
      </c>
      <c r="R19" s="7" t="s">
        <v>9</v>
      </c>
      <c r="S19" s="7"/>
      <c r="T19" s="8">
        <f t="shared" si="0"/>
        <v>12</v>
      </c>
    </row>
    <row r="20" spans="2:20">
      <c r="B20" s="19">
        <v>2</v>
      </c>
      <c r="C20" s="19" t="s">
        <v>28</v>
      </c>
      <c r="D20" s="15" t="s">
        <v>29</v>
      </c>
      <c r="E20" s="7" t="s">
        <v>9</v>
      </c>
      <c r="F20" s="7" t="s">
        <v>9</v>
      </c>
      <c r="G20" s="7" t="s">
        <v>9</v>
      </c>
      <c r="H20" s="7" t="s">
        <v>9</v>
      </c>
      <c r="I20" s="7" t="s">
        <v>9</v>
      </c>
      <c r="J20" s="7" t="s">
        <v>9</v>
      </c>
      <c r="K20" s="7" t="s">
        <v>9</v>
      </c>
      <c r="L20" s="7" t="s">
        <v>9</v>
      </c>
      <c r="M20" s="7" t="s">
        <v>9</v>
      </c>
      <c r="N20" s="7" t="s">
        <v>9</v>
      </c>
      <c r="O20" s="7" t="s">
        <v>9</v>
      </c>
      <c r="P20" s="7" t="s">
        <v>9</v>
      </c>
      <c r="Q20" s="7" t="s">
        <v>9</v>
      </c>
      <c r="R20" s="7" t="s">
        <v>9</v>
      </c>
      <c r="S20" s="7" t="s">
        <v>9</v>
      </c>
      <c r="T20" s="8">
        <f t="shared" si="0"/>
        <v>15</v>
      </c>
    </row>
    <row r="21" spans="2:20">
      <c r="B21" s="15">
        <v>2</v>
      </c>
      <c r="C21" s="19" t="s">
        <v>28</v>
      </c>
      <c r="D21" s="15" t="s">
        <v>30</v>
      </c>
      <c r="E21" s="7" t="s">
        <v>9</v>
      </c>
      <c r="F21" s="7" t="s">
        <v>9</v>
      </c>
      <c r="G21" s="7" t="s">
        <v>9</v>
      </c>
      <c r="H21" s="7" t="s">
        <v>9</v>
      </c>
      <c r="I21" s="7" t="s">
        <v>9</v>
      </c>
      <c r="J21" s="7" t="s">
        <v>9</v>
      </c>
      <c r="K21" s="7" t="s">
        <v>9</v>
      </c>
      <c r="L21" s="7" t="s">
        <v>9</v>
      </c>
      <c r="M21" s="7" t="s">
        <v>9</v>
      </c>
      <c r="N21" s="7" t="s">
        <v>9</v>
      </c>
      <c r="O21" s="7" t="s">
        <v>9</v>
      </c>
      <c r="P21" s="7" t="s">
        <v>9</v>
      </c>
      <c r="Q21" s="7" t="s">
        <v>9</v>
      </c>
      <c r="R21" s="7" t="s">
        <v>9</v>
      </c>
      <c r="S21" s="7" t="s">
        <v>9</v>
      </c>
      <c r="T21" s="8">
        <f t="shared" si="0"/>
        <v>15</v>
      </c>
    </row>
    <row r="22" spans="2:20">
      <c r="B22" s="12">
        <v>2</v>
      </c>
      <c r="C22" s="13" t="s">
        <v>28</v>
      </c>
      <c r="D22" s="12" t="s">
        <v>31</v>
      </c>
      <c r="E22" s="7" t="s">
        <v>9</v>
      </c>
      <c r="F22" s="7"/>
      <c r="G22" s="7" t="s">
        <v>9</v>
      </c>
      <c r="H22" s="7" t="s">
        <v>9</v>
      </c>
      <c r="I22" s="7" t="s">
        <v>9</v>
      </c>
      <c r="J22" s="7" t="s">
        <v>9</v>
      </c>
      <c r="K22" s="7" t="s">
        <v>9</v>
      </c>
      <c r="L22" s="7" t="s">
        <v>9</v>
      </c>
      <c r="M22" s="7" t="s">
        <v>9</v>
      </c>
      <c r="N22" s="7" t="s">
        <v>9</v>
      </c>
      <c r="O22" s="7" t="s">
        <v>9</v>
      </c>
      <c r="P22" s="7" t="s">
        <v>9</v>
      </c>
      <c r="Q22" s="7" t="s">
        <v>9</v>
      </c>
      <c r="R22" s="7" t="s">
        <v>9</v>
      </c>
      <c r="S22" s="7" t="s">
        <v>9</v>
      </c>
      <c r="T22" s="8">
        <f t="shared" si="0"/>
        <v>14</v>
      </c>
    </row>
    <row r="23" spans="2:20">
      <c r="B23" s="15">
        <v>2</v>
      </c>
      <c r="C23" s="19" t="s">
        <v>28</v>
      </c>
      <c r="D23" s="15" t="s">
        <v>32</v>
      </c>
      <c r="E23" s="7" t="s">
        <v>9</v>
      </c>
      <c r="F23" s="7" t="s">
        <v>9</v>
      </c>
      <c r="G23" s="7"/>
      <c r="H23" s="7" t="s">
        <v>9</v>
      </c>
      <c r="I23" s="7"/>
      <c r="J23" s="7"/>
      <c r="K23" s="7" t="s">
        <v>9</v>
      </c>
      <c r="L23" s="7" t="s">
        <v>9</v>
      </c>
      <c r="M23" s="7" t="s">
        <v>9</v>
      </c>
      <c r="N23" s="7" t="s">
        <v>9</v>
      </c>
      <c r="O23" s="7" t="s">
        <v>9</v>
      </c>
      <c r="P23" s="7" t="s">
        <v>9</v>
      </c>
      <c r="Q23" s="7" t="s">
        <v>9</v>
      </c>
      <c r="R23" s="7" t="s">
        <v>9</v>
      </c>
      <c r="S23" s="7" t="s">
        <v>9</v>
      </c>
      <c r="T23" s="8">
        <f t="shared" si="0"/>
        <v>12</v>
      </c>
    </row>
    <row r="24" spans="2:20">
      <c r="B24" s="15">
        <v>2</v>
      </c>
      <c r="C24" s="19" t="s">
        <v>28</v>
      </c>
      <c r="D24" s="15" t="s">
        <v>33</v>
      </c>
      <c r="E24" s="7"/>
      <c r="F24" s="7" t="s">
        <v>9</v>
      </c>
      <c r="G24" s="7" t="s">
        <v>9</v>
      </c>
      <c r="H24" s="7"/>
      <c r="I24" s="7" t="s">
        <v>9</v>
      </c>
      <c r="J24" s="7"/>
      <c r="K24" s="7" t="s">
        <v>9</v>
      </c>
      <c r="L24" s="7"/>
      <c r="M24" s="7"/>
      <c r="N24" s="7"/>
      <c r="O24" s="7" t="s">
        <v>9</v>
      </c>
      <c r="P24" s="7" t="s">
        <v>9</v>
      </c>
      <c r="Q24" s="7" t="s">
        <v>9</v>
      </c>
      <c r="R24" s="7" t="s">
        <v>9</v>
      </c>
      <c r="S24" s="7" t="s">
        <v>9</v>
      </c>
      <c r="T24" s="8">
        <f t="shared" si="0"/>
        <v>9</v>
      </c>
    </row>
    <row r="25" spans="2:20">
      <c r="B25" s="20">
        <v>2</v>
      </c>
      <c r="C25" s="20" t="s">
        <v>34</v>
      </c>
      <c r="D25" s="21" t="s">
        <v>35</v>
      </c>
      <c r="E25" s="7" t="s">
        <v>9</v>
      </c>
      <c r="F25" s="7" t="s">
        <v>9</v>
      </c>
      <c r="G25" s="7" t="s">
        <v>9</v>
      </c>
      <c r="H25" s="7" t="s">
        <v>9</v>
      </c>
      <c r="I25" s="7" t="s">
        <v>9</v>
      </c>
      <c r="J25" s="7" t="s">
        <v>9</v>
      </c>
      <c r="K25" s="7" t="s">
        <v>9</v>
      </c>
      <c r="L25" s="7" t="s">
        <v>9</v>
      </c>
      <c r="M25" s="7" t="s">
        <v>9</v>
      </c>
      <c r="N25" s="7" t="s">
        <v>9</v>
      </c>
      <c r="O25" s="7" t="s">
        <v>9</v>
      </c>
      <c r="P25" s="7" t="s">
        <v>9</v>
      </c>
      <c r="Q25" s="7" t="s">
        <v>9</v>
      </c>
      <c r="R25" s="7" t="s">
        <v>9</v>
      </c>
      <c r="S25" s="7" t="s">
        <v>9</v>
      </c>
      <c r="T25" s="8">
        <f t="shared" si="0"/>
        <v>15</v>
      </c>
    </row>
    <row r="26" spans="2:20">
      <c r="B26" s="21">
        <v>2</v>
      </c>
      <c r="C26" s="20" t="s">
        <v>34</v>
      </c>
      <c r="D26" s="21" t="s">
        <v>36</v>
      </c>
      <c r="E26" s="7" t="s">
        <v>9</v>
      </c>
      <c r="F26" s="7" t="s">
        <v>9</v>
      </c>
      <c r="G26" s="7" t="s">
        <v>9</v>
      </c>
      <c r="H26" s="7" t="s">
        <v>9</v>
      </c>
      <c r="I26" s="7" t="s">
        <v>9</v>
      </c>
      <c r="J26" s="7" t="s">
        <v>9</v>
      </c>
      <c r="K26" s="7" t="s">
        <v>9</v>
      </c>
      <c r="L26" s="7" t="s">
        <v>9</v>
      </c>
      <c r="M26" s="7" t="s">
        <v>9</v>
      </c>
      <c r="N26" s="7" t="s">
        <v>9</v>
      </c>
      <c r="O26" s="7" t="s">
        <v>9</v>
      </c>
      <c r="P26" s="7" t="s">
        <v>9</v>
      </c>
      <c r="Q26" s="7" t="s">
        <v>9</v>
      </c>
      <c r="R26" s="7" t="s">
        <v>9</v>
      </c>
      <c r="S26" s="7" t="s">
        <v>9</v>
      </c>
      <c r="T26" s="8">
        <f t="shared" si="0"/>
        <v>15</v>
      </c>
    </row>
    <row r="27" spans="2:20">
      <c r="B27" s="21">
        <v>2</v>
      </c>
      <c r="C27" s="20" t="s">
        <v>34</v>
      </c>
      <c r="D27" s="21" t="s">
        <v>37</v>
      </c>
      <c r="E27" s="7" t="s">
        <v>9</v>
      </c>
      <c r="F27" s="7" t="s">
        <v>9</v>
      </c>
      <c r="G27" s="7" t="s">
        <v>9</v>
      </c>
      <c r="H27" s="7" t="s">
        <v>9</v>
      </c>
      <c r="I27" s="7" t="s">
        <v>9</v>
      </c>
      <c r="J27" s="7" t="s">
        <v>9</v>
      </c>
      <c r="K27" s="7" t="s">
        <v>9</v>
      </c>
      <c r="L27" s="7" t="s">
        <v>9</v>
      </c>
      <c r="M27" s="7" t="s">
        <v>9</v>
      </c>
      <c r="N27" s="7" t="s">
        <v>9</v>
      </c>
      <c r="O27" s="7" t="s">
        <v>9</v>
      </c>
      <c r="P27" s="7" t="s">
        <v>9</v>
      </c>
      <c r="Q27" s="7" t="s">
        <v>9</v>
      </c>
      <c r="R27" s="7" t="s">
        <v>9</v>
      </c>
      <c r="S27" s="7" t="s">
        <v>9</v>
      </c>
      <c r="T27" s="8">
        <f t="shared" si="0"/>
        <v>15</v>
      </c>
    </row>
    <row r="28" spans="2:20">
      <c r="B28" s="21">
        <v>2</v>
      </c>
      <c r="C28" s="20" t="s">
        <v>34</v>
      </c>
      <c r="D28" s="21" t="s">
        <v>38</v>
      </c>
      <c r="E28" s="7" t="s">
        <v>9</v>
      </c>
      <c r="F28" s="7" t="s">
        <v>9</v>
      </c>
      <c r="G28" s="7" t="s">
        <v>9</v>
      </c>
      <c r="H28" s="7" t="s">
        <v>9</v>
      </c>
      <c r="I28" s="7" t="s">
        <v>9</v>
      </c>
      <c r="J28" s="7"/>
      <c r="K28" s="7" t="s">
        <v>9</v>
      </c>
      <c r="L28" s="7" t="s">
        <v>9</v>
      </c>
      <c r="M28" s="7" t="s">
        <v>9</v>
      </c>
      <c r="N28" s="7" t="s">
        <v>9</v>
      </c>
      <c r="O28" s="7" t="s">
        <v>9</v>
      </c>
      <c r="P28" s="7" t="s">
        <v>9</v>
      </c>
      <c r="Q28" s="7" t="s">
        <v>9</v>
      </c>
      <c r="R28" s="7" t="s">
        <v>9</v>
      </c>
      <c r="S28" s="7" t="s">
        <v>9</v>
      </c>
      <c r="T28" s="8">
        <f t="shared" si="0"/>
        <v>14</v>
      </c>
    </row>
    <row r="29" spans="2:20">
      <c r="B29" s="21">
        <v>2</v>
      </c>
      <c r="C29" s="20" t="s">
        <v>34</v>
      </c>
      <c r="D29" s="21" t="s">
        <v>39</v>
      </c>
      <c r="E29" s="7"/>
      <c r="F29" s="7" t="s">
        <v>9</v>
      </c>
      <c r="G29" s="7" t="s">
        <v>9</v>
      </c>
      <c r="H29" s="7" t="s">
        <v>9</v>
      </c>
      <c r="I29" s="7"/>
      <c r="J29" s="7" t="s">
        <v>9</v>
      </c>
      <c r="K29" s="7" t="s">
        <v>9</v>
      </c>
      <c r="L29" s="7" t="s">
        <v>9</v>
      </c>
      <c r="M29" s="7" t="s">
        <v>9</v>
      </c>
      <c r="N29" s="7" t="s">
        <v>9</v>
      </c>
      <c r="O29" s="7" t="s">
        <v>9</v>
      </c>
      <c r="P29" s="7" t="s">
        <v>9</v>
      </c>
      <c r="Q29" s="7" t="s">
        <v>9</v>
      </c>
      <c r="R29" s="7" t="s">
        <v>9</v>
      </c>
      <c r="S29" s="7" t="s">
        <v>9</v>
      </c>
      <c r="T29" s="8">
        <f t="shared" si="0"/>
        <v>13</v>
      </c>
    </row>
    <row r="30" spans="2:20">
      <c r="B30" s="2">
        <v>2</v>
      </c>
      <c r="C30" s="20" t="s">
        <v>34</v>
      </c>
      <c r="D30" s="22" t="s">
        <v>40</v>
      </c>
      <c r="E30" s="7"/>
      <c r="F30" s="7"/>
      <c r="G30" s="7" t="s">
        <v>9</v>
      </c>
      <c r="H30" s="7" t="s">
        <v>9</v>
      </c>
      <c r="I30" s="7" t="s">
        <v>9</v>
      </c>
      <c r="J30" s="7" t="s">
        <v>9</v>
      </c>
      <c r="K30" s="7" t="s">
        <v>9</v>
      </c>
      <c r="L30" s="7" t="s">
        <v>9</v>
      </c>
      <c r="M30" s="7" t="s">
        <v>9</v>
      </c>
      <c r="N30" s="7" t="s">
        <v>9</v>
      </c>
      <c r="O30" s="7" t="s">
        <v>9</v>
      </c>
      <c r="P30" s="7" t="s">
        <v>9</v>
      </c>
      <c r="Q30" s="7" t="s">
        <v>9</v>
      </c>
      <c r="R30" s="7" t="s">
        <v>9</v>
      </c>
      <c r="S30" s="7" t="s">
        <v>9</v>
      </c>
      <c r="T30" s="8">
        <f t="shared" si="0"/>
        <v>13</v>
      </c>
    </row>
    <row r="31" spans="2:20">
      <c r="B31" s="21">
        <v>2</v>
      </c>
      <c r="C31" s="20" t="s">
        <v>34</v>
      </c>
      <c r="D31" s="21" t="s">
        <v>41</v>
      </c>
      <c r="E31" s="7" t="s">
        <v>9</v>
      </c>
      <c r="F31" s="7" t="s">
        <v>9</v>
      </c>
      <c r="G31" s="7" t="s">
        <v>9</v>
      </c>
      <c r="H31" s="7" t="s">
        <v>9</v>
      </c>
      <c r="I31" s="7"/>
      <c r="J31" s="7" t="s">
        <v>9</v>
      </c>
      <c r="K31" s="7" t="s">
        <v>9</v>
      </c>
      <c r="L31" s="7" t="s">
        <v>9</v>
      </c>
      <c r="M31" s="7"/>
      <c r="N31" s="7"/>
      <c r="O31" s="7" t="s">
        <v>9</v>
      </c>
      <c r="P31" s="7" t="s">
        <v>9</v>
      </c>
      <c r="Q31" s="7"/>
      <c r="R31" s="7"/>
      <c r="S31" s="7" t="s">
        <v>9</v>
      </c>
      <c r="T31" s="8">
        <f t="shared" si="0"/>
        <v>10</v>
      </c>
    </row>
  </sheetData>
  <phoneticPr fontId="5" type="noConversion"/>
  <conditionalFormatting sqref="E3:S31">
    <cfRule type="expression" dxfId="0" priority="1">
      <formula>AND(ISODD(COLUMN()),ISODD(MONTH(E$3)))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56"/>
  <sheetViews>
    <sheetView zoomScaleNormal="100" workbookViewId="0"/>
  </sheetViews>
  <sheetFormatPr defaultColWidth="9" defaultRowHeight="16.5" customHeight="1"/>
  <cols>
    <col min="1" max="1" width="5" style="28" customWidth="1"/>
    <col min="2" max="3" width="9" style="25"/>
    <col min="4" max="4" width="15.125" style="25" customWidth="1"/>
    <col min="5" max="5" width="9.375" style="26" bestFit="1" customWidth="1"/>
    <col min="6" max="7" width="10.75" style="26" bestFit="1" customWidth="1"/>
    <col min="8" max="8" width="11.875" style="26" customWidth="1"/>
    <col min="9" max="9" width="2.5" style="28" customWidth="1"/>
    <col min="10" max="10" width="7.25" style="25" customWidth="1"/>
    <col min="11" max="12" width="10.25" style="28" bestFit="1" customWidth="1"/>
    <col min="13" max="17" width="9.75" style="28" customWidth="1"/>
    <col min="18" max="19" width="10.25" style="28" bestFit="1" customWidth="1"/>
    <col min="20" max="16384" width="9" style="28"/>
  </cols>
  <sheetData>
    <row r="1" spans="2:18" ht="16.5" customHeight="1">
      <c r="B1" s="24" t="s">
        <v>42</v>
      </c>
      <c r="F1" s="27"/>
      <c r="G1" s="27"/>
      <c r="H1" s="27"/>
    </row>
    <row r="2" spans="2:18" ht="16.5" customHeight="1">
      <c r="B2" s="29" t="s">
        <v>43</v>
      </c>
      <c r="C2" s="29" t="s">
        <v>44</v>
      </c>
      <c r="D2" s="30" t="s">
        <v>139</v>
      </c>
      <c r="E2" s="31" t="s">
        <v>45</v>
      </c>
      <c r="F2" s="32" t="s">
        <v>46</v>
      </c>
      <c r="G2" s="32" t="s">
        <v>47</v>
      </c>
      <c r="H2" s="31" t="s">
        <v>48</v>
      </c>
      <c r="J2" s="24" t="s">
        <v>49</v>
      </c>
    </row>
    <row r="3" spans="2:18" ht="16.5" customHeight="1">
      <c r="B3" s="33">
        <v>24</v>
      </c>
      <c r="C3" s="34" t="s">
        <v>50</v>
      </c>
      <c r="D3" s="34" t="str">
        <f>CONCATENATE(VLOOKUP(C3,$J$4:$L$7,2,FALSE),"-",VLOOKUP(C3,$J$4:$L$7,3,FALSE))</f>
        <v>기본형-남자</v>
      </c>
      <c r="E3" s="35">
        <f>INDEX($K$12:$R$15,MATCH(C3,$J$12:$J$15,0),MATCH(B3,$K$10:$R$10,1))</f>
        <v>13200</v>
      </c>
      <c r="F3" s="36">
        <v>5</v>
      </c>
      <c r="G3" s="36">
        <v>3</v>
      </c>
      <c r="H3" s="37" t="str">
        <f>fn가입상태(F3,G3)</f>
        <v>휴면보험</v>
      </c>
      <c r="J3" s="38" t="s">
        <v>44</v>
      </c>
      <c r="K3" s="38" t="s">
        <v>51</v>
      </c>
      <c r="L3" s="38" t="s">
        <v>52</v>
      </c>
    </row>
    <row r="4" spans="2:18" ht="16.5" customHeight="1">
      <c r="B4" s="39">
        <v>41</v>
      </c>
      <c r="C4" s="40" t="s">
        <v>53</v>
      </c>
      <c r="D4" s="34" t="str">
        <f t="shared" ref="D4:D38" si="0">CONCATENATE(VLOOKUP(C4,$J$4:$L$7,2,FALSE),"-",VLOOKUP(C4,$J$4:$L$7,3,FALSE))</f>
        <v>기본형-여자</v>
      </c>
      <c r="E4" s="35">
        <f t="shared" ref="E4:E38" si="1">INDEX($K$12:$R$15,MATCH(C4,$J$12:$J$15,0),MATCH(B4,$K$10:$R$10,1))</f>
        <v>22500</v>
      </c>
      <c r="F4" s="41">
        <v>3</v>
      </c>
      <c r="G4" s="41">
        <v>0</v>
      </c>
      <c r="H4" s="37" t="str">
        <f t="shared" ref="H4:H38" si="2">fn가입상태(F4,G4)</f>
        <v>정상</v>
      </c>
      <c r="J4" s="40" t="s">
        <v>50</v>
      </c>
      <c r="K4" s="40" t="s">
        <v>54</v>
      </c>
      <c r="L4" s="40" t="s">
        <v>55</v>
      </c>
    </row>
    <row r="5" spans="2:18" ht="16.5" customHeight="1">
      <c r="B5" s="39">
        <v>50</v>
      </c>
      <c r="C5" s="40" t="s">
        <v>56</v>
      </c>
      <c r="D5" s="34" t="str">
        <f t="shared" si="0"/>
        <v>추가보장-남자</v>
      </c>
      <c r="E5" s="35">
        <f t="shared" si="1"/>
        <v>45000</v>
      </c>
      <c r="F5" s="41">
        <v>15</v>
      </c>
      <c r="G5" s="41">
        <v>0</v>
      </c>
      <c r="H5" s="37" t="str">
        <f t="shared" si="2"/>
        <v>정상</v>
      </c>
      <c r="J5" s="40" t="s">
        <v>56</v>
      </c>
      <c r="K5" s="40" t="s">
        <v>57</v>
      </c>
      <c r="L5" s="40" t="s">
        <v>55</v>
      </c>
    </row>
    <row r="6" spans="2:18" ht="16.5" customHeight="1">
      <c r="B6" s="39">
        <v>29</v>
      </c>
      <c r="C6" s="40" t="s">
        <v>58</v>
      </c>
      <c r="D6" s="34" t="str">
        <f t="shared" si="0"/>
        <v>추가보장-여자</v>
      </c>
      <c r="E6" s="35">
        <f t="shared" si="1"/>
        <v>14200</v>
      </c>
      <c r="F6" s="41">
        <v>15</v>
      </c>
      <c r="G6" s="41">
        <v>0</v>
      </c>
      <c r="H6" s="37" t="str">
        <f t="shared" si="2"/>
        <v>정상</v>
      </c>
      <c r="J6" s="40" t="s">
        <v>53</v>
      </c>
      <c r="K6" s="40" t="s">
        <v>54</v>
      </c>
      <c r="L6" s="40" t="s">
        <v>59</v>
      </c>
    </row>
    <row r="7" spans="2:18" ht="16.5" customHeight="1">
      <c r="B7" s="39">
        <v>42</v>
      </c>
      <c r="C7" s="40" t="s">
        <v>58</v>
      </c>
      <c r="D7" s="34" t="str">
        <f t="shared" si="0"/>
        <v>추가보장-여자</v>
      </c>
      <c r="E7" s="35">
        <f t="shared" si="1"/>
        <v>28400</v>
      </c>
      <c r="F7" s="41">
        <v>5</v>
      </c>
      <c r="G7" s="41">
        <v>1</v>
      </c>
      <c r="H7" s="37" t="str">
        <f t="shared" si="2"/>
        <v>1개월 미납</v>
      </c>
      <c r="J7" s="40" t="s">
        <v>58</v>
      </c>
      <c r="K7" s="40" t="s">
        <v>57</v>
      </c>
      <c r="L7" s="40" t="s">
        <v>59</v>
      </c>
    </row>
    <row r="8" spans="2:18" ht="16.5" customHeight="1">
      <c r="B8" s="39">
        <v>7</v>
      </c>
      <c r="C8" s="40" t="s">
        <v>58</v>
      </c>
      <c r="D8" s="34" t="str">
        <f t="shared" si="0"/>
        <v>추가보장-여자</v>
      </c>
      <c r="E8" s="35">
        <f t="shared" si="1"/>
        <v>13000</v>
      </c>
      <c r="F8" s="41">
        <v>10</v>
      </c>
      <c r="G8" s="41">
        <v>0</v>
      </c>
      <c r="H8" s="37" t="str">
        <f t="shared" si="2"/>
        <v>정상</v>
      </c>
    </row>
    <row r="9" spans="2:18" ht="16.5" customHeight="1">
      <c r="B9" s="39">
        <v>45</v>
      </c>
      <c r="C9" s="40" t="s">
        <v>56</v>
      </c>
      <c r="D9" s="34" t="str">
        <f t="shared" si="0"/>
        <v>추가보장-남자</v>
      </c>
      <c r="E9" s="35">
        <f t="shared" si="1"/>
        <v>24000</v>
      </c>
      <c r="F9" s="41">
        <v>14</v>
      </c>
      <c r="G9" s="41">
        <v>1</v>
      </c>
      <c r="H9" s="37" t="str">
        <f t="shared" si="2"/>
        <v>1개월 미납</v>
      </c>
      <c r="J9" s="24" t="s">
        <v>60</v>
      </c>
    </row>
    <row r="10" spans="2:18" ht="16.5" customHeight="1">
      <c r="B10" s="39">
        <v>16</v>
      </c>
      <c r="C10" s="40" t="s">
        <v>58</v>
      </c>
      <c r="D10" s="34" t="str">
        <f t="shared" si="0"/>
        <v>추가보장-여자</v>
      </c>
      <c r="E10" s="35">
        <f t="shared" si="1"/>
        <v>12900</v>
      </c>
      <c r="F10" s="41">
        <v>5</v>
      </c>
      <c r="G10" s="41">
        <v>1</v>
      </c>
      <c r="H10" s="37" t="str">
        <f t="shared" si="2"/>
        <v>1개월 미납</v>
      </c>
      <c r="J10" s="42"/>
      <c r="K10" s="43">
        <v>0</v>
      </c>
      <c r="L10" s="43">
        <v>10</v>
      </c>
      <c r="M10" s="43">
        <v>20</v>
      </c>
      <c r="N10" s="43">
        <v>30</v>
      </c>
      <c r="O10" s="43">
        <v>40</v>
      </c>
      <c r="P10" s="43">
        <v>50</v>
      </c>
      <c r="Q10" s="43">
        <v>60</v>
      </c>
      <c r="R10" s="43">
        <v>70</v>
      </c>
    </row>
    <row r="11" spans="2:18" ht="16.5" customHeight="1">
      <c r="B11" s="39">
        <v>16</v>
      </c>
      <c r="C11" s="40" t="s">
        <v>61</v>
      </c>
      <c r="D11" s="34" t="str">
        <f t="shared" si="0"/>
        <v>기본형-남자</v>
      </c>
      <c r="E11" s="35">
        <f t="shared" si="1"/>
        <v>12800</v>
      </c>
      <c r="F11" s="41">
        <v>6</v>
      </c>
      <c r="G11" s="41">
        <v>1</v>
      </c>
      <c r="H11" s="37" t="str">
        <f t="shared" si="2"/>
        <v>1개월 미납</v>
      </c>
      <c r="J11" s="44"/>
      <c r="K11" s="45">
        <v>10</v>
      </c>
      <c r="L11" s="45">
        <v>20</v>
      </c>
      <c r="M11" s="45">
        <v>30</v>
      </c>
      <c r="N11" s="45">
        <v>40</v>
      </c>
      <c r="O11" s="45">
        <v>50</v>
      </c>
      <c r="P11" s="45">
        <v>60</v>
      </c>
      <c r="Q11" s="45">
        <v>70</v>
      </c>
      <c r="R11" s="45"/>
    </row>
    <row r="12" spans="2:18" ht="16.5" customHeight="1">
      <c r="B12" s="39">
        <v>51</v>
      </c>
      <c r="C12" s="40" t="s">
        <v>61</v>
      </c>
      <c r="D12" s="34" t="str">
        <f t="shared" si="0"/>
        <v>기본형-남자</v>
      </c>
      <c r="E12" s="35">
        <f t="shared" si="1"/>
        <v>33000</v>
      </c>
      <c r="F12" s="41">
        <v>8</v>
      </c>
      <c r="G12" s="41">
        <v>0</v>
      </c>
      <c r="H12" s="37" t="str">
        <f t="shared" si="2"/>
        <v>정상</v>
      </c>
      <c r="J12" s="40" t="s">
        <v>61</v>
      </c>
      <c r="K12" s="46">
        <v>12800</v>
      </c>
      <c r="L12" s="46">
        <v>12800</v>
      </c>
      <c r="M12" s="46">
        <v>13200</v>
      </c>
      <c r="N12" s="46">
        <v>14800</v>
      </c>
      <c r="O12" s="46">
        <v>19800</v>
      </c>
      <c r="P12" s="46">
        <v>33000</v>
      </c>
      <c r="Q12" s="46">
        <v>58300</v>
      </c>
      <c r="R12" s="46">
        <v>89500</v>
      </c>
    </row>
    <row r="13" spans="2:18" ht="16.5" customHeight="1">
      <c r="B13" s="39">
        <v>46</v>
      </c>
      <c r="C13" s="40" t="s">
        <v>61</v>
      </c>
      <c r="D13" s="34" t="str">
        <f t="shared" si="0"/>
        <v>기본형-남자</v>
      </c>
      <c r="E13" s="35">
        <f t="shared" si="1"/>
        <v>19800</v>
      </c>
      <c r="F13" s="41">
        <v>8</v>
      </c>
      <c r="G13" s="41">
        <v>2</v>
      </c>
      <c r="H13" s="37" t="str">
        <f t="shared" si="2"/>
        <v>2개월 미납</v>
      </c>
      <c r="J13" s="40" t="s">
        <v>62</v>
      </c>
      <c r="K13" s="46">
        <v>13100</v>
      </c>
      <c r="L13" s="46">
        <v>13100</v>
      </c>
      <c r="M13" s="46">
        <v>13700</v>
      </c>
      <c r="N13" s="46">
        <v>16100</v>
      </c>
      <c r="O13" s="46">
        <v>24000</v>
      </c>
      <c r="P13" s="46">
        <v>45000</v>
      </c>
      <c r="Q13" s="46">
        <v>85500</v>
      </c>
      <c r="R13" s="46">
        <v>134800</v>
      </c>
    </row>
    <row r="14" spans="2:18" ht="16.5" customHeight="1">
      <c r="B14" s="39">
        <v>22</v>
      </c>
      <c r="C14" s="40" t="s">
        <v>61</v>
      </c>
      <c r="D14" s="34" t="str">
        <f t="shared" si="0"/>
        <v>기본형-남자</v>
      </c>
      <c r="E14" s="35">
        <f t="shared" si="1"/>
        <v>13200</v>
      </c>
      <c r="F14" s="41">
        <v>21</v>
      </c>
      <c r="G14" s="41">
        <v>0</v>
      </c>
      <c r="H14" s="37" t="str">
        <f t="shared" si="2"/>
        <v>정상</v>
      </c>
      <c r="J14" s="40" t="s">
        <v>63</v>
      </c>
      <c r="K14" s="46">
        <v>12700</v>
      </c>
      <c r="L14" s="46">
        <v>12600</v>
      </c>
      <c r="M14" s="46">
        <v>13500</v>
      </c>
      <c r="N14" s="46">
        <v>16700</v>
      </c>
      <c r="O14" s="46">
        <v>22500</v>
      </c>
      <c r="P14" s="46">
        <v>26500</v>
      </c>
      <c r="Q14" s="46">
        <v>32200</v>
      </c>
      <c r="R14" s="46">
        <v>43100</v>
      </c>
    </row>
    <row r="15" spans="2:18" ht="16.5" customHeight="1">
      <c r="B15" s="39">
        <v>6</v>
      </c>
      <c r="C15" s="40" t="s">
        <v>61</v>
      </c>
      <c r="D15" s="34" t="str">
        <f t="shared" si="0"/>
        <v>기본형-남자</v>
      </c>
      <c r="E15" s="35">
        <f t="shared" si="1"/>
        <v>12800</v>
      </c>
      <c r="F15" s="41">
        <v>7</v>
      </c>
      <c r="G15" s="41">
        <v>0</v>
      </c>
      <c r="H15" s="37" t="str">
        <f t="shared" si="2"/>
        <v>정상</v>
      </c>
      <c r="J15" s="40" t="s">
        <v>64</v>
      </c>
      <c r="K15" s="46">
        <v>13000</v>
      </c>
      <c r="L15" s="46">
        <v>12900</v>
      </c>
      <c r="M15" s="46">
        <v>14200</v>
      </c>
      <c r="N15" s="46">
        <v>19100</v>
      </c>
      <c r="O15" s="46">
        <v>28400</v>
      </c>
      <c r="P15" s="46">
        <v>34900</v>
      </c>
      <c r="Q15" s="46">
        <v>43900</v>
      </c>
      <c r="R15" s="46">
        <v>60700</v>
      </c>
    </row>
    <row r="16" spans="2:18" ht="16.5" customHeight="1">
      <c r="B16" s="39">
        <v>22</v>
      </c>
      <c r="C16" s="40" t="s">
        <v>63</v>
      </c>
      <c r="D16" s="34" t="str">
        <f t="shared" si="0"/>
        <v>기본형-여자</v>
      </c>
      <c r="E16" s="35">
        <f t="shared" si="1"/>
        <v>13500</v>
      </c>
      <c r="F16" s="41">
        <v>21</v>
      </c>
      <c r="G16" s="41">
        <v>2</v>
      </c>
      <c r="H16" s="37" t="str">
        <f t="shared" si="2"/>
        <v>2개월 미납</v>
      </c>
    </row>
    <row r="17" spans="2:19" ht="16.5" customHeight="1">
      <c r="B17" s="39">
        <v>21</v>
      </c>
      <c r="C17" s="40" t="s">
        <v>62</v>
      </c>
      <c r="D17" s="34" t="str">
        <f t="shared" si="0"/>
        <v>추가보장-남자</v>
      </c>
      <c r="E17" s="35">
        <f t="shared" si="1"/>
        <v>13700</v>
      </c>
      <c r="F17" s="41">
        <v>20</v>
      </c>
      <c r="G17" s="41">
        <v>0</v>
      </c>
      <c r="H17" s="37" t="str">
        <f t="shared" si="2"/>
        <v>정상</v>
      </c>
    </row>
    <row r="18" spans="2:19" ht="16.5" customHeight="1">
      <c r="B18" s="39">
        <v>13</v>
      </c>
      <c r="C18" s="40" t="s">
        <v>64</v>
      </c>
      <c r="D18" s="34" t="str">
        <f t="shared" si="0"/>
        <v>추가보장-여자</v>
      </c>
      <c r="E18" s="35">
        <f t="shared" si="1"/>
        <v>12900</v>
      </c>
      <c r="F18" s="41">
        <v>8</v>
      </c>
      <c r="G18" s="41">
        <v>0</v>
      </c>
      <c r="H18" s="37" t="str">
        <f t="shared" si="2"/>
        <v>정상</v>
      </c>
      <c r="J18" s="24" t="s">
        <v>65</v>
      </c>
      <c r="N18" s="24" t="s">
        <v>66</v>
      </c>
    </row>
    <row r="19" spans="2:19" ht="16.5" customHeight="1">
      <c r="B19" s="39">
        <v>29</v>
      </c>
      <c r="C19" s="40" t="s">
        <v>61</v>
      </c>
      <c r="D19" s="34" t="str">
        <f t="shared" si="0"/>
        <v>기본형-남자</v>
      </c>
      <c r="E19" s="35">
        <f t="shared" si="1"/>
        <v>13200</v>
      </c>
      <c r="F19" s="41">
        <v>24</v>
      </c>
      <c r="G19" s="41">
        <v>0</v>
      </c>
      <c r="H19" s="37" t="str">
        <f t="shared" si="2"/>
        <v>정상</v>
      </c>
      <c r="J19" s="109" t="s">
        <v>67</v>
      </c>
      <c r="K19" s="110"/>
      <c r="L19" s="47" t="s">
        <v>68</v>
      </c>
      <c r="N19" s="111" t="s">
        <v>69</v>
      </c>
      <c r="O19" s="48">
        <v>0</v>
      </c>
      <c r="P19" s="48">
        <v>20</v>
      </c>
      <c r="Q19" s="48">
        <v>30</v>
      </c>
      <c r="R19" s="48">
        <v>40</v>
      </c>
      <c r="S19" s="48">
        <v>60</v>
      </c>
    </row>
    <row r="20" spans="2:19" ht="16.5" customHeight="1">
      <c r="B20" s="39">
        <v>61</v>
      </c>
      <c r="C20" s="40" t="s">
        <v>63</v>
      </c>
      <c r="D20" s="34" t="str">
        <f t="shared" si="0"/>
        <v>기본형-여자</v>
      </c>
      <c r="E20" s="35">
        <f t="shared" si="1"/>
        <v>32200</v>
      </c>
      <c r="F20" s="41">
        <v>23</v>
      </c>
      <c r="G20" s="41">
        <v>1</v>
      </c>
      <c r="H20" s="37" t="str">
        <f t="shared" si="2"/>
        <v>1개월 미납</v>
      </c>
      <c r="J20" s="49">
        <v>1</v>
      </c>
      <c r="K20" s="50">
        <v>10</v>
      </c>
      <c r="L20" s="34" t="str">
        <f t="array" ref="L20:L26">IF(FREQUENCY(B3:B38,K20:K26)&gt;0,TEXT(FREQUENCY(B3:B38,K20:K26),"0명"),"미가입")</f>
        <v>3명</v>
      </c>
      <c r="N20" s="111"/>
      <c r="O20" s="51">
        <v>20</v>
      </c>
      <c r="P20" s="51">
        <v>30</v>
      </c>
      <c r="Q20" s="51">
        <v>40</v>
      </c>
      <c r="R20" s="51">
        <v>60</v>
      </c>
      <c r="S20" s="51">
        <v>80</v>
      </c>
    </row>
    <row r="21" spans="2:19" ht="16.5" customHeight="1">
      <c r="B21" s="39">
        <v>12</v>
      </c>
      <c r="C21" s="40" t="s">
        <v>53</v>
      </c>
      <c r="D21" s="34" t="str">
        <f t="shared" si="0"/>
        <v>기본형-여자</v>
      </c>
      <c r="E21" s="35">
        <f t="shared" si="1"/>
        <v>12600</v>
      </c>
      <c r="F21" s="41">
        <v>20</v>
      </c>
      <c r="G21" s="41">
        <v>2</v>
      </c>
      <c r="H21" s="37" t="str">
        <f t="shared" si="2"/>
        <v>2개월 미납</v>
      </c>
      <c r="J21" s="49">
        <v>11</v>
      </c>
      <c r="K21" s="50">
        <v>20</v>
      </c>
      <c r="L21" s="34" t="str">
        <v>6명</v>
      </c>
      <c r="N21" s="52" t="s">
        <v>50</v>
      </c>
      <c r="O21" s="53">
        <f t="array" ref="O21">IFERROR(AVERAGE(IF(($C$3:$C$38=$N21)*($B$3:$B$38&gt;=O$19)*($B$3:$B$38&lt;O$20),$F$3:$F$38)),"")</f>
        <v>7.333333333333333</v>
      </c>
      <c r="P21" s="53">
        <f t="array" ref="P21">IFERROR(AVERAGE(IF(($C$3:$C$38=$N21)*($B$3:$B$38&gt;=P$19)*($B$3:$B$38&lt;P$20),$F$3:$F$38)),"")</f>
        <v>16.75</v>
      </c>
      <c r="Q21" s="53" t="str">
        <f t="array" ref="Q21">IFERROR(AVERAGE(IF(($C$3:$C$38=$N21)*($B$3:$B$38&gt;=Q$19)*($B$3:$B$38&lt;Q$20),$F$3:$F$38)),"")</f>
        <v/>
      </c>
      <c r="R21" s="53">
        <f t="array" ref="R21">IFERROR(AVERAGE(IF(($C$3:$C$38=$N21)*($B$3:$B$38&gt;=R$19)*($B$3:$B$38&lt;R$20),$F$3:$F$38)),"")</f>
        <v>8</v>
      </c>
      <c r="S21" s="53" t="str">
        <f t="array" ref="S21">IFERROR(AVERAGE(IF(($C$3:$C$38=$N21)*($B$3:$B$38&gt;=S$19)*($B$3:$B$38&lt;S$20),$F$3:$F$38)),"")</f>
        <v/>
      </c>
    </row>
    <row r="22" spans="2:19" ht="16.5" customHeight="1">
      <c r="B22" s="39">
        <v>64</v>
      </c>
      <c r="C22" s="40" t="s">
        <v>64</v>
      </c>
      <c r="D22" s="34" t="str">
        <f t="shared" si="0"/>
        <v>추가보장-여자</v>
      </c>
      <c r="E22" s="35">
        <f t="shared" si="1"/>
        <v>43900</v>
      </c>
      <c r="F22" s="41">
        <v>7</v>
      </c>
      <c r="G22" s="41">
        <v>0</v>
      </c>
      <c r="H22" s="37" t="str">
        <f t="shared" si="2"/>
        <v>정상</v>
      </c>
      <c r="J22" s="49">
        <v>21</v>
      </c>
      <c r="K22" s="50">
        <v>30</v>
      </c>
      <c r="L22" s="34" t="str">
        <v>12명</v>
      </c>
      <c r="N22" s="40" t="s">
        <v>63</v>
      </c>
      <c r="O22" s="53">
        <f t="array" ref="O22">IFERROR(AVERAGE(IF(($C$3:$C$38=$N22)*($B$3:$B$38&gt;=O$19)*($B$3:$B$38&lt;O$20),$F$3:$F$38)),"")</f>
        <v>20.5</v>
      </c>
      <c r="P22" s="53">
        <f t="array" ref="P22">IFERROR(AVERAGE(IF(($C$3:$C$38=$N22)*($B$3:$B$38&gt;=P$19)*($B$3:$B$38&lt;P$20),$F$3:$F$38)),"")</f>
        <v>21</v>
      </c>
      <c r="Q22" s="53" t="str">
        <f t="array" ref="Q22">IFERROR(AVERAGE(IF(($C$3:$C$38=$N22)*($B$3:$B$38&gt;=Q$19)*($B$3:$B$38&lt;Q$20),$F$3:$F$38)),"")</f>
        <v/>
      </c>
      <c r="R22" s="53">
        <f t="array" ref="R22">IFERROR(AVERAGE(IF(($C$3:$C$38=$N22)*($B$3:$B$38&gt;=R$19)*($B$3:$B$38&lt;R$20),$F$3:$F$38)),"")</f>
        <v>5</v>
      </c>
      <c r="S22" s="53">
        <f t="array" ref="S22">IFERROR(AVERAGE(IF(($C$3:$C$38=$N22)*($B$3:$B$38&gt;=S$19)*($B$3:$B$38&lt;S$20),$F$3:$F$38)),"")</f>
        <v>23</v>
      </c>
    </row>
    <row r="23" spans="2:19" ht="16.5" customHeight="1">
      <c r="B23" s="39">
        <v>29</v>
      </c>
      <c r="C23" s="40" t="s">
        <v>61</v>
      </c>
      <c r="D23" s="34" t="str">
        <f t="shared" si="0"/>
        <v>기본형-남자</v>
      </c>
      <c r="E23" s="35">
        <f t="shared" si="1"/>
        <v>13200</v>
      </c>
      <c r="F23" s="41">
        <v>17</v>
      </c>
      <c r="G23" s="41">
        <v>2</v>
      </c>
      <c r="H23" s="37" t="str">
        <f t="shared" si="2"/>
        <v>2개월 미납</v>
      </c>
      <c r="J23" s="49">
        <v>31</v>
      </c>
      <c r="K23" s="50">
        <v>40</v>
      </c>
      <c r="L23" s="34" t="str">
        <v>미가입</v>
      </c>
      <c r="N23" s="40" t="s">
        <v>62</v>
      </c>
      <c r="O23" s="53">
        <f t="array" ref="O23">IFERROR(AVERAGE(IF(($C$3:$C$38=$N23)*($B$3:$B$38&gt;=O$19)*($B$3:$B$38&lt;O$20),$F$3:$F$38)),"")</f>
        <v>9</v>
      </c>
      <c r="P23" s="53">
        <f t="array" ref="P23">IFERROR(AVERAGE(IF(($C$3:$C$38=$N23)*($B$3:$B$38&gt;=P$19)*($B$3:$B$38&lt;P$20),$F$3:$F$38)),"")</f>
        <v>8.6666666666666661</v>
      </c>
      <c r="Q23" s="53" t="str">
        <f t="array" ref="Q23">IFERROR(AVERAGE(IF(($C$3:$C$38=$N23)*($B$3:$B$38&gt;=Q$19)*($B$3:$B$38&lt;Q$20),$F$3:$F$38)),"")</f>
        <v/>
      </c>
      <c r="R23" s="53">
        <f t="array" ref="R23">IFERROR(AVERAGE(IF(($C$3:$C$38=$N23)*($B$3:$B$38&gt;=R$19)*($B$3:$B$38&lt;R$20),$F$3:$F$38)),"")</f>
        <v>13</v>
      </c>
      <c r="S23" s="53" t="str">
        <f t="array" ref="S23">IFERROR(AVERAGE(IF(($C$3:$C$38=$N23)*($B$3:$B$38&gt;=S$19)*($B$3:$B$38&lt;S$20),$F$3:$F$38)),"")</f>
        <v/>
      </c>
    </row>
    <row r="24" spans="2:19" ht="16.5" customHeight="1">
      <c r="B24" s="39">
        <v>17</v>
      </c>
      <c r="C24" s="40" t="s">
        <v>63</v>
      </c>
      <c r="D24" s="34" t="str">
        <f t="shared" si="0"/>
        <v>기본형-여자</v>
      </c>
      <c r="E24" s="35">
        <f t="shared" si="1"/>
        <v>12600</v>
      </c>
      <c r="F24" s="41">
        <v>21</v>
      </c>
      <c r="G24" s="41">
        <v>2</v>
      </c>
      <c r="H24" s="37" t="str">
        <f t="shared" si="2"/>
        <v>2개월 미납</v>
      </c>
      <c r="J24" s="49">
        <v>41</v>
      </c>
      <c r="K24" s="50">
        <v>50</v>
      </c>
      <c r="L24" s="34" t="str">
        <v>7명</v>
      </c>
      <c r="N24" s="40" t="s">
        <v>64</v>
      </c>
      <c r="O24" s="53">
        <f t="array" ref="O24">IFERROR(AVERAGE(IF(($C$3:$C$38=$N24)*($B$3:$B$38&gt;=O$19)*($B$3:$B$38&lt;O$20),$F$3:$F$38)),"")</f>
        <v>7.666666666666667</v>
      </c>
      <c r="P24" s="53">
        <f t="array" ref="P24">IFERROR(AVERAGE(IF(($C$3:$C$38=$N24)*($B$3:$B$38&gt;=P$19)*($B$3:$B$38&lt;P$20),$F$3:$F$38)),"")</f>
        <v>16.5</v>
      </c>
      <c r="Q24" s="53" t="str">
        <f t="array" ref="Q24">IFERROR(AVERAGE(IF(($C$3:$C$38=$N24)*($B$3:$B$38&gt;=Q$19)*($B$3:$B$38&lt;Q$20),$F$3:$F$38)),"")</f>
        <v/>
      </c>
      <c r="R24" s="53">
        <f t="array" ref="R24">IFERROR(AVERAGE(IF(($C$3:$C$38=$N24)*($B$3:$B$38&gt;=R$19)*($B$3:$B$38&lt;R$20),$F$3:$F$38)),"")</f>
        <v>12.333333333333334</v>
      </c>
      <c r="S24" s="53">
        <f t="array" ref="S24">IFERROR(AVERAGE(IF(($C$3:$C$38=$N24)*($B$3:$B$38&gt;=S$19)*($B$3:$B$38&lt;S$20),$F$3:$F$38)),"")</f>
        <v>13.5</v>
      </c>
    </row>
    <row r="25" spans="2:19" ht="16.5" customHeight="1">
      <c r="B25" s="39">
        <v>29</v>
      </c>
      <c r="C25" s="40" t="s">
        <v>62</v>
      </c>
      <c r="D25" s="34" t="str">
        <f t="shared" si="0"/>
        <v>추가보장-남자</v>
      </c>
      <c r="E25" s="35">
        <f t="shared" si="1"/>
        <v>13700</v>
      </c>
      <c r="F25" s="41">
        <v>2</v>
      </c>
      <c r="G25" s="41">
        <v>2</v>
      </c>
      <c r="H25" s="37" t="str">
        <f t="shared" si="2"/>
        <v>해지예상</v>
      </c>
      <c r="J25" s="49">
        <v>51</v>
      </c>
      <c r="K25" s="50">
        <v>60</v>
      </c>
      <c r="L25" s="34" t="str">
        <v>5명</v>
      </c>
    </row>
    <row r="26" spans="2:19" ht="16.5" customHeight="1">
      <c r="B26" s="39">
        <v>26</v>
      </c>
      <c r="C26" s="40" t="s">
        <v>62</v>
      </c>
      <c r="D26" s="34" t="str">
        <f t="shared" si="0"/>
        <v>추가보장-남자</v>
      </c>
      <c r="E26" s="35">
        <f t="shared" si="1"/>
        <v>13700</v>
      </c>
      <c r="F26" s="41">
        <v>4</v>
      </c>
      <c r="G26" s="41">
        <v>1</v>
      </c>
      <c r="H26" s="37" t="str">
        <f t="shared" si="2"/>
        <v>1개월 미납</v>
      </c>
      <c r="J26" s="49">
        <v>61</v>
      </c>
      <c r="K26" s="50">
        <v>70</v>
      </c>
      <c r="L26" s="34" t="str">
        <v>3명</v>
      </c>
    </row>
    <row r="27" spans="2:19" ht="16.5" customHeight="1">
      <c r="B27" s="39">
        <v>59</v>
      </c>
      <c r="C27" s="40" t="s">
        <v>62</v>
      </c>
      <c r="D27" s="34" t="str">
        <f t="shared" si="0"/>
        <v>추가보장-남자</v>
      </c>
      <c r="E27" s="35">
        <f t="shared" si="1"/>
        <v>45000</v>
      </c>
      <c r="F27" s="41">
        <v>2</v>
      </c>
      <c r="G27" s="41">
        <v>1</v>
      </c>
      <c r="H27" s="37" t="str">
        <f t="shared" si="2"/>
        <v>1개월 미납</v>
      </c>
    </row>
    <row r="28" spans="2:19" ht="16.5" customHeight="1">
      <c r="B28" s="39">
        <v>43</v>
      </c>
      <c r="C28" s="40" t="s">
        <v>63</v>
      </c>
      <c r="D28" s="34" t="str">
        <f t="shared" si="0"/>
        <v>기본형-여자</v>
      </c>
      <c r="E28" s="35">
        <f t="shared" si="1"/>
        <v>22500</v>
      </c>
      <c r="F28" s="41">
        <v>5</v>
      </c>
      <c r="G28" s="41">
        <v>2</v>
      </c>
      <c r="H28" s="37" t="str">
        <f t="shared" si="2"/>
        <v>2개월 미납</v>
      </c>
    </row>
    <row r="29" spans="2:19" ht="16.5" customHeight="1">
      <c r="B29" s="39">
        <v>53</v>
      </c>
      <c r="C29" s="40" t="s">
        <v>62</v>
      </c>
      <c r="D29" s="34" t="str">
        <f t="shared" si="0"/>
        <v>추가보장-남자</v>
      </c>
      <c r="E29" s="35">
        <f t="shared" si="1"/>
        <v>45000</v>
      </c>
      <c r="F29" s="41">
        <v>21</v>
      </c>
      <c r="G29" s="41">
        <v>2</v>
      </c>
      <c r="H29" s="37" t="str">
        <f t="shared" si="2"/>
        <v>2개월 미납</v>
      </c>
    </row>
    <row r="30" spans="2:19" ht="16.5" customHeight="1">
      <c r="B30" s="39">
        <v>29</v>
      </c>
      <c r="C30" s="40" t="s">
        <v>64</v>
      </c>
      <c r="D30" s="34" t="str">
        <f t="shared" si="0"/>
        <v>추가보장-여자</v>
      </c>
      <c r="E30" s="35">
        <f t="shared" si="1"/>
        <v>14200</v>
      </c>
      <c r="F30" s="41">
        <v>18</v>
      </c>
      <c r="G30" s="41">
        <v>1</v>
      </c>
      <c r="H30" s="37" t="str">
        <f t="shared" si="2"/>
        <v>1개월 미납</v>
      </c>
    </row>
    <row r="31" spans="2:19" ht="16.5" customHeight="1">
      <c r="B31" s="39">
        <v>18</v>
      </c>
      <c r="C31" s="40" t="s">
        <v>61</v>
      </c>
      <c r="D31" s="34" t="str">
        <f t="shared" si="0"/>
        <v>기본형-남자</v>
      </c>
      <c r="E31" s="35">
        <f t="shared" si="1"/>
        <v>12800</v>
      </c>
      <c r="F31" s="41">
        <v>9</v>
      </c>
      <c r="G31" s="41">
        <v>1</v>
      </c>
      <c r="H31" s="37" t="str">
        <f t="shared" si="2"/>
        <v>1개월 미납</v>
      </c>
    </row>
    <row r="32" spans="2:19" ht="16.5" customHeight="1">
      <c r="B32" s="39">
        <v>41</v>
      </c>
      <c r="C32" s="40" t="s">
        <v>63</v>
      </c>
      <c r="D32" s="34" t="str">
        <f t="shared" si="0"/>
        <v>기본형-여자</v>
      </c>
      <c r="E32" s="35">
        <f t="shared" si="1"/>
        <v>22500</v>
      </c>
      <c r="F32" s="41">
        <v>7</v>
      </c>
      <c r="G32" s="41">
        <v>0</v>
      </c>
      <c r="H32" s="37" t="str">
        <f t="shared" si="2"/>
        <v>정상</v>
      </c>
    </row>
    <row r="33" spans="2:16" ht="16.5" customHeight="1">
      <c r="B33" s="39">
        <v>8</v>
      </c>
      <c r="C33" s="40" t="s">
        <v>62</v>
      </c>
      <c r="D33" s="34" t="str">
        <f t="shared" si="0"/>
        <v>추가보장-남자</v>
      </c>
      <c r="E33" s="35">
        <f t="shared" si="1"/>
        <v>13100</v>
      </c>
      <c r="F33" s="41">
        <v>9</v>
      </c>
      <c r="G33" s="41">
        <v>2</v>
      </c>
      <c r="H33" s="37" t="str">
        <f t="shared" si="2"/>
        <v>2개월 미납</v>
      </c>
    </row>
    <row r="34" spans="2:16" ht="16.5" customHeight="1">
      <c r="B34" s="39">
        <v>64</v>
      </c>
      <c r="C34" s="40" t="s">
        <v>64</v>
      </c>
      <c r="D34" s="34" t="str">
        <f t="shared" si="0"/>
        <v>추가보장-여자</v>
      </c>
      <c r="E34" s="35">
        <f t="shared" si="1"/>
        <v>43900</v>
      </c>
      <c r="F34" s="41">
        <v>20</v>
      </c>
      <c r="G34" s="41">
        <v>1</v>
      </c>
      <c r="H34" s="37" t="str">
        <f t="shared" si="2"/>
        <v>1개월 미납</v>
      </c>
    </row>
    <row r="35" spans="2:16" ht="16.5" customHeight="1">
      <c r="B35" s="39">
        <v>21</v>
      </c>
      <c r="C35" s="40" t="s">
        <v>64</v>
      </c>
      <c r="D35" s="34" t="str">
        <f t="shared" si="0"/>
        <v>추가보장-여자</v>
      </c>
      <c r="E35" s="35">
        <f t="shared" si="1"/>
        <v>14200</v>
      </c>
      <c r="F35" s="41">
        <v>12</v>
      </c>
      <c r="G35" s="41">
        <v>2</v>
      </c>
      <c r="H35" s="37" t="str">
        <f t="shared" si="2"/>
        <v>2개월 미납</v>
      </c>
    </row>
    <row r="36" spans="2:16" ht="16.5" customHeight="1">
      <c r="B36" s="39">
        <v>25</v>
      </c>
      <c r="C36" s="40" t="s">
        <v>64</v>
      </c>
      <c r="D36" s="34" t="str">
        <f t="shared" si="0"/>
        <v>추가보장-여자</v>
      </c>
      <c r="E36" s="35">
        <f t="shared" si="1"/>
        <v>14200</v>
      </c>
      <c r="F36" s="41">
        <v>21</v>
      </c>
      <c r="G36" s="41">
        <v>0</v>
      </c>
      <c r="H36" s="37" t="str">
        <f t="shared" si="2"/>
        <v>정상</v>
      </c>
    </row>
    <row r="37" spans="2:16" ht="16.5" customHeight="1">
      <c r="B37" s="39">
        <v>53</v>
      </c>
      <c r="C37" s="40" t="s">
        <v>64</v>
      </c>
      <c r="D37" s="34" t="str">
        <f t="shared" si="0"/>
        <v>추가보장-여자</v>
      </c>
      <c r="E37" s="35">
        <f t="shared" si="1"/>
        <v>34900</v>
      </c>
      <c r="F37" s="41">
        <v>23</v>
      </c>
      <c r="G37" s="41">
        <v>0</v>
      </c>
      <c r="H37" s="37" t="str">
        <f t="shared" si="2"/>
        <v>정상</v>
      </c>
    </row>
    <row r="38" spans="2:16" ht="16.5" customHeight="1">
      <c r="B38" s="39">
        <v>59</v>
      </c>
      <c r="C38" s="40" t="s">
        <v>64</v>
      </c>
      <c r="D38" s="34" t="str">
        <f t="shared" si="0"/>
        <v>추가보장-여자</v>
      </c>
      <c r="E38" s="35">
        <f t="shared" si="1"/>
        <v>34900</v>
      </c>
      <c r="F38" s="41">
        <v>9</v>
      </c>
      <c r="G38" s="41">
        <v>1</v>
      </c>
      <c r="H38" s="37" t="str">
        <f t="shared" si="2"/>
        <v>1개월 미납</v>
      </c>
      <c r="N38" s="54"/>
      <c r="O38" s="54"/>
      <c r="P38" s="54"/>
    </row>
    <row r="39" spans="2:16" ht="16.5" customHeight="1">
      <c r="N39" s="54"/>
      <c r="O39" s="54"/>
      <c r="P39" s="54"/>
    </row>
    <row r="40" spans="2:16" ht="16.5" customHeight="1">
      <c r="N40" s="54"/>
      <c r="O40" s="54"/>
      <c r="P40" s="54"/>
    </row>
    <row r="41" spans="2:16" ht="16.5" customHeight="1">
      <c r="N41" s="54"/>
      <c r="O41" s="54"/>
      <c r="P41" s="54"/>
    </row>
    <row r="42" spans="2:16" ht="16.5" customHeight="1">
      <c r="N42" s="54"/>
      <c r="O42" s="54"/>
      <c r="P42" s="54"/>
    </row>
    <row r="43" spans="2:16" ht="16.5" customHeight="1">
      <c r="N43" s="54"/>
      <c r="O43" s="54"/>
      <c r="P43" s="54"/>
    </row>
    <row r="44" spans="2:16" ht="16.5" customHeight="1">
      <c r="N44" s="54"/>
      <c r="O44" s="54"/>
      <c r="P44" s="54"/>
    </row>
    <row r="45" spans="2:16" ht="16.5" customHeight="1">
      <c r="N45" s="54"/>
      <c r="O45" s="54"/>
    </row>
    <row r="46" spans="2:16" ht="16.5" customHeight="1">
      <c r="N46" s="54"/>
      <c r="O46" s="54"/>
    </row>
    <row r="47" spans="2:16" ht="16.5" customHeight="1">
      <c r="N47" s="54"/>
      <c r="O47" s="54"/>
    </row>
    <row r="48" spans="2:16" ht="16.5" customHeight="1">
      <c r="N48" s="54"/>
      <c r="O48" s="54"/>
    </row>
    <row r="49" spans="14:15" ht="16.5" customHeight="1">
      <c r="N49" s="54"/>
      <c r="O49" s="54"/>
    </row>
    <row r="50" spans="14:15" ht="16.5" customHeight="1">
      <c r="N50" s="54"/>
      <c r="O50" s="54"/>
    </row>
    <row r="51" spans="14:15" ht="16.5" customHeight="1">
      <c r="N51" s="54"/>
      <c r="O51" s="54"/>
    </row>
    <row r="52" spans="14:15" ht="16.5" customHeight="1">
      <c r="N52" s="54"/>
      <c r="O52" s="54"/>
    </row>
    <row r="53" spans="14:15" ht="16.5" customHeight="1">
      <c r="N53" s="54"/>
      <c r="O53" s="54"/>
    </row>
    <row r="54" spans="14:15" ht="16.5" customHeight="1">
      <c r="N54" s="54"/>
      <c r="O54" s="54"/>
    </row>
    <row r="55" spans="14:15" ht="16.5" customHeight="1">
      <c r="N55" s="54"/>
    </row>
    <row r="56" spans="14:15" ht="16.5" customHeight="1">
      <c r="N56" s="54"/>
    </row>
  </sheetData>
  <mergeCells count="2">
    <mergeCell ref="J19:K19"/>
    <mergeCell ref="N19:N20"/>
  </mergeCells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81"/>
  <sheetViews>
    <sheetView zoomScaleNormal="100" workbookViewId="0"/>
  </sheetViews>
  <sheetFormatPr defaultRowHeight="16.5"/>
  <cols>
    <col min="1" max="1" width="10.625" style="23" customWidth="1"/>
    <col min="2" max="2" width="11" style="23" bestFit="1" customWidth="1"/>
    <col min="3" max="3" width="10.75" style="23" customWidth="1"/>
    <col min="4" max="5" width="9" style="23"/>
    <col min="7" max="7" width="15.5" bestFit="1" customWidth="1"/>
    <col min="8" max="8" width="11" customWidth="1"/>
    <col min="9" max="12" width="13.125" customWidth="1"/>
    <col min="13" max="13" width="18" bestFit="1" customWidth="1"/>
    <col min="14" max="14" width="11.875" customWidth="1"/>
  </cols>
  <sheetData>
    <row r="1" spans="1:14">
      <c r="A1" s="100" t="s">
        <v>0</v>
      </c>
      <c r="B1" s="101" t="s">
        <v>1</v>
      </c>
      <c r="C1" s="101" t="s">
        <v>2</v>
      </c>
      <c r="D1" s="101" t="s">
        <v>70</v>
      </c>
      <c r="E1" s="102" t="s">
        <v>3</v>
      </c>
    </row>
    <row r="2" spans="1:14">
      <c r="A2" s="103">
        <v>3</v>
      </c>
      <c r="B2" s="104" t="s">
        <v>71</v>
      </c>
      <c r="C2" s="104" t="s">
        <v>161</v>
      </c>
      <c r="D2" s="104" t="s">
        <v>72</v>
      </c>
      <c r="E2" s="105">
        <v>15</v>
      </c>
      <c r="I2" s="85" t="s">
        <v>70</v>
      </c>
      <c r="J2" s="85" t="s">
        <v>141</v>
      </c>
    </row>
    <row r="3" spans="1:14">
      <c r="A3" s="103">
        <v>3</v>
      </c>
      <c r="B3" s="104" t="s">
        <v>71</v>
      </c>
      <c r="C3" s="104" t="s">
        <v>162</v>
      </c>
      <c r="D3" s="104" t="s">
        <v>72</v>
      </c>
      <c r="E3" s="105">
        <v>15</v>
      </c>
      <c r="I3" t="s">
        <v>72</v>
      </c>
      <c r="K3" t="s">
        <v>75</v>
      </c>
      <c r="M3" t="s">
        <v>142</v>
      </c>
      <c r="N3" t="s">
        <v>147</v>
      </c>
    </row>
    <row r="4" spans="1:14">
      <c r="A4" s="103">
        <v>3</v>
      </c>
      <c r="B4" s="104" t="s">
        <v>71</v>
      </c>
      <c r="C4" s="104" t="s">
        <v>73</v>
      </c>
      <c r="D4" s="104" t="s">
        <v>72</v>
      </c>
      <c r="E4" s="105">
        <v>3</v>
      </c>
      <c r="G4" s="85" t="s">
        <v>0</v>
      </c>
      <c r="H4" s="85" t="s">
        <v>1</v>
      </c>
      <c r="I4" t="s">
        <v>143</v>
      </c>
      <c r="J4" t="s">
        <v>148</v>
      </c>
      <c r="K4" t="s">
        <v>143</v>
      </c>
      <c r="L4" t="s">
        <v>148</v>
      </c>
    </row>
    <row r="5" spans="1:14">
      <c r="A5" s="103">
        <v>3</v>
      </c>
      <c r="B5" s="104" t="s">
        <v>71</v>
      </c>
      <c r="C5" s="104" t="s">
        <v>163</v>
      </c>
      <c r="D5" s="104" t="s">
        <v>72</v>
      </c>
      <c r="E5" s="105">
        <v>5</v>
      </c>
      <c r="G5">
        <v>1</v>
      </c>
      <c r="I5" s="87"/>
      <c r="J5" s="86"/>
      <c r="K5" s="87"/>
      <c r="L5" s="86"/>
      <c r="M5" s="87"/>
      <c r="N5" s="86"/>
    </row>
    <row r="6" spans="1:14">
      <c r="A6" s="103">
        <v>3</v>
      </c>
      <c r="B6" s="104" t="s">
        <v>71</v>
      </c>
      <c r="C6" s="104" t="s">
        <v>74</v>
      </c>
      <c r="D6" s="104" t="s">
        <v>72</v>
      </c>
      <c r="E6" s="105">
        <v>0</v>
      </c>
      <c r="H6" t="s">
        <v>76</v>
      </c>
      <c r="I6" s="87">
        <v>8.3333333333333339</v>
      </c>
      <c r="J6" s="86">
        <v>3</v>
      </c>
      <c r="K6" s="87">
        <v>4.25</v>
      </c>
      <c r="L6" s="86">
        <v>4</v>
      </c>
      <c r="M6" s="87">
        <v>6</v>
      </c>
      <c r="N6" s="86">
        <v>7</v>
      </c>
    </row>
    <row r="7" spans="1:14">
      <c r="A7" s="103">
        <v>3</v>
      </c>
      <c r="B7" s="104" t="s">
        <v>71</v>
      </c>
      <c r="C7" s="104" t="s">
        <v>164</v>
      </c>
      <c r="D7" s="104" t="s">
        <v>75</v>
      </c>
      <c r="E7" s="105">
        <v>14</v>
      </c>
      <c r="H7" t="s">
        <v>92</v>
      </c>
      <c r="I7" s="87">
        <v>10.6</v>
      </c>
      <c r="J7" s="86">
        <v>5</v>
      </c>
      <c r="K7" s="87"/>
      <c r="L7" s="86"/>
      <c r="M7" s="87">
        <v>10.6</v>
      </c>
      <c r="N7" s="86">
        <v>5</v>
      </c>
    </row>
    <row r="8" spans="1:14">
      <c r="A8" s="103">
        <v>3</v>
      </c>
      <c r="B8" s="104" t="s">
        <v>71</v>
      </c>
      <c r="C8" s="104" t="s">
        <v>165</v>
      </c>
      <c r="D8" s="104" t="s">
        <v>75</v>
      </c>
      <c r="E8" s="105">
        <v>15</v>
      </c>
      <c r="H8" t="s">
        <v>94</v>
      </c>
      <c r="I8" s="87">
        <v>12.5</v>
      </c>
      <c r="J8" s="86">
        <v>2</v>
      </c>
      <c r="K8" s="87">
        <v>6.25</v>
      </c>
      <c r="L8" s="86">
        <v>4</v>
      </c>
      <c r="M8" s="87">
        <v>8.3333333333333339</v>
      </c>
      <c r="N8" s="86">
        <v>6</v>
      </c>
    </row>
    <row r="9" spans="1:14">
      <c r="A9" s="103">
        <v>1</v>
      </c>
      <c r="B9" s="104" t="s">
        <v>76</v>
      </c>
      <c r="C9" s="104" t="s">
        <v>77</v>
      </c>
      <c r="D9" s="104" t="s">
        <v>72</v>
      </c>
      <c r="E9" s="105">
        <v>0</v>
      </c>
      <c r="G9" t="s">
        <v>144</v>
      </c>
      <c r="I9" s="87">
        <v>10.3</v>
      </c>
      <c r="J9" s="86">
        <v>10</v>
      </c>
      <c r="K9" s="87">
        <v>5.25</v>
      </c>
      <c r="L9" s="86">
        <v>8</v>
      </c>
      <c r="M9" s="87">
        <v>8.0555555555555554</v>
      </c>
      <c r="N9" s="86">
        <v>18</v>
      </c>
    </row>
    <row r="10" spans="1:14">
      <c r="A10" s="103">
        <v>1</v>
      </c>
      <c r="B10" s="104" t="s">
        <v>76</v>
      </c>
      <c r="C10" s="104" t="s">
        <v>166</v>
      </c>
      <c r="D10" s="104" t="s">
        <v>72</v>
      </c>
      <c r="E10" s="105">
        <v>12</v>
      </c>
      <c r="G10">
        <v>2</v>
      </c>
      <c r="I10" s="87"/>
      <c r="J10" s="86"/>
      <c r="K10" s="87"/>
      <c r="L10" s="86"/>
      <c r="M10" s="87"/>
      <c r="N10" s="86"/>
    </row>
    <row r="11" spans="1:14">
      <c r="A11" s="103">
        <v>1</v>
      </c>
      <c r="B11" s="104" t="s">
        <v>76</v>
      </c>
      <c r="C11" s="104" t="s">
        <v>167</v>
      </c>
      <c r="D11" s="104" t="s">
        <v>72</v>
      </c>
      <c r="E11" s="105">
        <v>13</v>
      </c>
      <c r="H11" t="s">
        <v>80</v>
      </c>
      <c r="I11" s="87">
        <v>7.75</v>
      </c>
      <c r="J11" s="86">
        <v>4</v>
      </c>
      <c r="K11" s="87">
        <v>0.66666666666666663</v>
      </c>
      <c r="L11" s="86">
        <v>3</v>
      </c>
      <c r="M11" s="87">
        <v>4.7142857142857144</v>
      </c>
      <c r="N11" s="86">
        <v>7</v>
      </c>
    </row>
    <row r="12" spans="1:14">
      <c r="A12" s="103">
        <v>1</v>
      </c>
      <c r="B12" s="104" t="s">
        <v>76</v>
      </c>
      <c r="C12" s="104" t="s">
        <v>168</v>
      </c>
      <c r="D12" s="104" t="s">
        <v>75</v>
      </c>
      <c r="E12" s="105">
        <v>1</v>
      </c>
      <c r="H12" t="s">
        <v>83</v>
      </c>
      <c r="I12" s="87">
        <v>6.75</v>
      </c>
      <c r="J12" s="86">
        <v>4</v>
      </c>
      <c r="K12" s="87">
        <v>9.6666666666666661</v>
      </c>
      <c r="L12" s="86">
        <v>3</v>
      </c>
      <c r="M12" s="87">
        <v>8</v>
      </c>
      <c r="N12" s="86">
        <v>7</v>
      </c>
    </row>
    <row r="13" spans="1:14">
      <c r="A13" s="103">
        <v>1</v>
      </c>
      <c r="B13" s="104" t="s">
        <v>76</v>
      </c>
      <c r="C13" s="104" t="s">
        <v>169</v>
      </c>
      <c r="D13" s="104" t="s">
        <v>75</v>
      </c>
      <c r="E13" s="105">
        <v>1</v>
      </c>
      <c r="H13" t="s">
        <v>88</v>
      </c>
      <c r="I13" s="87">
        <v>14</v>
      </c>
      <c r="J13" s="86">
        <v>3</v>
      </c>
      <c r="K13" s="87">
        <v>6</v>
      </c>
      <c r="L13" s="86">
        <v>4</v>
      </c>
      <c r="M13" s="87">
        <v>9.4285714285714288</v>
      </c>
      <c r="N13" s="86">
        <v>7</v>
      </c>
    </row>
    <row r="14" spans="1:14">
      <c r="A14" s="103">
        <v>1</v>
      </c>
      <c r="B14" s="104" t="s">
        <v>76</v>
      </c>
      <c r="C14" s="104" t="s">
        <v>170</v>
      </c>
      <c r="D14" s="104" t="s">
        <v>75</v>
      </c>
      <c r="E14" s="105">
        <v>0</v>
      </c>
      <c r="H14" t="s">
        <v>90</v>
      </c>
      <c r="I14" s="87">
        <v>11.166666666666666</v>
      </c>
      <c r="J14" s="86">
        <v>6</v>
      </c>
      <c r="K14" s="87">
        <v>14</v>
      </c>
      <c r="L14" s="86">
        <v>2</v>
      </c>
      <c r="M14" s="87">
        <v>11.875</v>
      </c>
      <c r="N14" s="86">
        <v>8</v>
      </c>
    </row>
    <row r="15" spans="1:14">
      <c r="A15" s="103">
        <v>1</v>
      </c>
      <c r="B15" s="104" t="s">
        <v>76</v>
      </c>
      <c r="C15" s="104" t="s">
        <v>171</v>
      </c>
      <c r="D15" s="104" t="s">
        <v>75</v>
      </c>
      <c r="E15" s="105">
        <v>15</v>
      </c>
      <c r="G15" t="s">
        <v>145</v>
      </c>
      <c r="I15" s="87">
        <v>9.8235294117647065</v>
      </c>
      <c r="J15" s="86">
        <v>17</v>
      </c>
      <c r="K15" s="87">
        <v>6.916666666666667</v>
      </c>
      <c r="L15" s="86">
        <v>12</v>
      </c>
      <c r="M15" s="87">
        <v>8.6206896551724146</v>
      </c>
      <c r="N15" s="86">
        <v>29</v>
      </c>
    </row>
    <row r="16" spans="1:14">
      <c r="A16" s="103">
        <v>3</v>
      </c>
      <c r="B16" s="104" t="s">
        <v>78</v>
      </c>
      <c r="C16" s="104" t="s">
        <v>172</v>
      </c>
      <c r="D16" s="104" t="s">
        <v>72</v>
      </c>
      <c r="E16" s="105">
        <v>13</v>
      </c>
      <c r="G16">
        <v>3</v>
      </c>
      <c r="I16" s="87"/>
      <c r="J16" s="86"/>
      <c r="K16" s="87"/>
      <c r="L16" s="86"/>
      <c r="M16" s="87"/>
      <c r="N16" s="86"/>
    </row>
    <row r="17" spans="1:14">
      <c r="A17" s="103">
        <v>3</v>
      </c>
      <c r="B17" s="104" t="s">
        <v>78</v>
      </c>
      <c r="C17" s="104" t="s">
        <v>173</v>
      </c>
      <c r="D17" s="104" t="s">
        <v>72</v>
      </c>
      <c r="E17" s="105">
        <v>13</v>
      </c>
      <c r="H17" t="s">
        <v>71</v>
      </c>
      <c r="I17" s="87">
        <v>7.6</v>
      </c>
      <c r="J17" s="86">
        <v>5</v>
      </c>
      <c r="K17" s="87">
        <v>14.5</v>
      </c>
      <c r="L17" s="86">
        <v>2</v>
      </c>
      <c r="M17" s="87">
        <v>9.5714285714285712</v>
      </c>
      <c r="N17" s="86">
        <v>7</v>
      </c>
    </row>
    <row r="18" spans="1:14">
      <c r="A18" s="103">
        <v>3</v>
      </c>
      <c r="B18" s="104" t="s">
        <v>78</v>
      </c>
      <c r="C18" s="104" t="s">
        <v>174</v>
      </c>
      <c r="D18" s="104" t="s">
        <v>72</v>
      </c>
      <c r="E18" s="105">
        <v>13</v>
      </c>
      <c r="H18" t="s">
        <v>78</v>
      </c>
      <c r="I18" s="87">
        <v>9.75</v>
      </c>
      <c r="J18" s="86">
        <v>4</v>
      </c>
      <c r="K18" s="87">
        <v>9.5</v>
      </c>
      <c r="L18" s="86">
        <v>6</v>
      </c>
      <c r="M18" s="87">
        <v>9.6</v>
      </c>
      <c r="N18" s="86">
        <v>10</v>
      </c>
    </row>
    <row r="19" spans="1:14">
      <c r="A19" s="103">
        <v>3</v>
      </c>
      <c r="B19" s="104" t="s">
        <v>78</v>
      </c>
      <c r="C19" s="104" t="s">
        <v>79</v>
      </c>
      <c r="D19" s="104" t="s">
        <v>72</v>
      </c>
      <c r="E19" s="105">
        <v>0</v>
      </c>
      <c r="H19" t="s">
        <v>86</v>
      </c>
      <c r="I19" s="87">
        <v>10.5</v>
      </c>
      <c r="J19" s="86">
        <v>4</v>
      </c>
      <c r="K19" s="87">
        <v>8.25</v>
      </c>
      <c r="L19" s="86">
        <v>4</v>
      </c>
      <c r="M19" s="87">
        <v>9.375</v>
      </c>
      <c r="N19" s="86">
        <v>8</v>
      </c>
    </row>
    <row r="20" spans="1:14">
      <c r="A20" s="103">
        <v>3</v>
      </c>
      <c r="B20" s="104" t="s">
        <v>78</v>
      </c>
      <c r="C20" s="104" t="s">
        <v>175</v>
      </c>
      <c r="D20" s="104" t="s">
        <v>75</v>
      </c>
      <c r="E20" s="105">
        <v>15</v>
      </c>
      <c r="H20" t="s">
        <v>89</v>
      </c>
      <c r="I20" s="87">
        <v>11.8</v>
      </c>
      <c r="J20" s="86">
        <v>5</v>
      </c>
      <c r="K20" s="87">
        <v>4.333333333333333</v>
      </c>
      <c r="L20" s="86">
        <v>3</v>
      </c>
      <c r="M20" s="87">
        <v>9</v>
      </c>
      <c r="N20" s="86">
        <v>8</v>
      </c>
    </row>
    <row r="21" spans="1:14">
      <c r="A21" s="103">
        <v>3</v>
      </c>
      <c r="B21" s="104" t="s">
        <v>78</v>
      </c>
      <c r="C21" s="104" t="s">
        <v>176</v>
      </c>
      <c r="D21" s="104" t="s">
        <v>75</v>
      </c>
      <c r="E21" s="105">
        <v>15</v>
      </c>
      <c r="G21" t="s">
        <v>146</v>
      </c>
      <c r="I21" s="87">
        <v>9.8888888888888893</v>
      </c>
      <c r="J21" s="86">
        <v>18</v>
      </c>
      <c r="K21" s="87">
        <v>8.8000000000000007</v>
      </c>
      <c r="L21" s="86">
        <v>15</v>
      </c>
      <c r="M21" s="87">
        <v>9.3939393939393945</v>
      </c>
      <c r="N21" s="86">
        <v>33</v>
      </c>
    </row>
    <row r="22" spans="1:14">
      <c r="A22" s="103">
        <v>3</v>
      </c>
      <c r="B22" s="104" t="s">
        <v>78</v>
      </c>
      <c r="C22" s="104" t="s">
        <v>177</v>
      </c>
      <c r="D22" s="104" t="s">
        <v>75</v>
      </c>
      <c r="E22" s="105">
        <v>13</v>
      </c>
      <c r="G22" t="s">
        <v>140</v>
      </c>
      <c r="I22" s="87">
        <v>9.9555555555555557</v>
      </c>
      <c r="J22" s="86">
        <v>45</v>
      </c>
      <c r="K22" s="87">
        <v>7.3428571428571425</v>
      </c>
      <c r="L22" s="86">
        <v>35</v>
      </c>
      <c r="M22" s="87">
        <v>8.8125</v>
      </c>
      <c r="N22" s="86">
        <v>80</v>
      </c>
    </row>
    <row r="23" spans="1:14">
      <c r="A23" s="103">
        <v>3</v>
      </c>
      <c r="B23" s="104" t="s">
        <v>78</v>
      </c>
      <c r="C23" s="104" t="s">
        <v>178</v>
      </c>
      <c r="D23" s="104" t="s">
        <v>75</v>
      </c>
      <c r="E23" s="105">
        <v>2</v>
      </c>
    </row>
    <row r="24" spans="1:14">
      <c r="A24" s="103">
        <v>3</v>
      </c>
      <c r="B24" s="104" t="s">
        <v>78</v>
      </c>
      <c r="C24" s="104" t="s">
        <v>179</v>
      </c>
      <c r="D24" s="104" t="s">
        <v>75</v>
      </c>
      <c r="E24" s="105">
        <v>0</v>
      </c>
    </row>
    <row r="25" spans="1:14">
      <c r="A25" s="103">
        <v>3</v>
      </c>
      <c r="B25" s="104" t="s">
        <v>78</v>
      </c>
      <c r="C25" s="104" t="s">
        <v>180</v>
      </c>
      <c r="D25" s="104" t="s">
        <v>75</v>
      </c>
      <c r="E25" s="105">
        <v>12</v>
      </c>
    </row>
    <row r="26" spans="1:14">
      <c r="A26" s="103">
        <v>2</v>
      </c>
      <c r="B26" s="104" t="s">
        <v>80</v>
      </c>
      <c r="C26" s="104" t="s">
        <v>81</v>
      </c>
      <c r="D26" s="104" t="s">
        <v>72</v>
      </c>
      <c r="E26" s="105">
        <v>2</v>
      </c>
    </row>
    <row r="27" spans="1:14">
      <c r="A27" s="103">
        <v>2</v>
      </c>
      <c r="B27" s="104" t="s">
        <v>80</v>
      </c>
      <c r="C27" s="104" t="s">
        <v>21</v>
      </c>
      <c r="D27" s="104" t="s">
        <v>72</v>
      </c>
      <c r="E27" s="105">
        <v>15</v>
      </c>
    </row>
    <row r="28" spans="1:14">
      <c r="A28" s="103">
        <v>2</v>
      </c>
      <c r="B28" s="104" t="s">
        <v>80</v>
      </c>
      <c r="C28" s="104" t="s">
        <v>22</v>
      </c>
      <c r="D28" s="104" t="s">
        <v>72</v>
      </c>
      <c r="E28" s="105">
        <v>14</v>
      </c>
    </row>
    <row r="29" spans="1:14">
      <c r="A29" s="103">
        <v>2</v>
      </c>
      <c r="B29" s="104" t="s">
        <v>80</v>
      </c>
      <c r="C29" s="104" t="s">
        <v>82</v>
      </c>
      <c r="D29" s="104" t="s">
        <v>72</v>
      </c>
      <c r="E29" s="105">
        <v>0</v>
      </c>
    </row>
    <row r="30" spans="1:14">
      <c r="A30" s="103">
        <v>2</v>
      </c>
      <c r="B30" s="104" t="s">
        <v>80</v>
      </c>
      <c r="C30" s="104" t="s">
        <v>181</v>
      </c>
      <c r="D30" s="104" t="s">
        <v>75</v>
      </c>
      <c r="E30" s="105">
        <v>1</v>
      </c>
    </row>
    <row r="31" spans="1:14">
      <c r="A31" s="103">
        <v>2</v>
      </c>
      <c r="B31" s="104" t="s">
        <v>80</v>
      </c>
      <c r="C31" s="104" t="s">
        <v>182</v>
      </c>
      <c r="D31" s="104" t="s">
        <v>75</v>
      </c>
      <c r="E31" s="105">
        <v>1</v>
      </c>
    </row>
    <row r="32" spans="1:14">
      <c r="A32" s="103">
        <v>2</v>
      </c>
      <c r="B32" s="104" t="s">
        <v>80</v>
      </c>
      <c r="C32" s="104" t="s">
        <v>183</v>
      </c>
      <c r="D32" s="104" t="s">
        <v>75</v>
      </c>
      <c r="E32" s="105">
        <v>0</v>
      </c>
    </row>
    <row r="33" spans="1:5">
      <c r="A33" s="103">
        <v>2</v>
      </c>
      <c r="B33" s="104" t="s">
        <v>83</v>
      </c>
      <c r="C33" s="104" t="s">
        <v>27</v>
      </c>
      <c r="D33" s="104" t="s">
        <v>72</v>
      </c>
      <c r="E33" s="105">
        <v>13</v>
      </c>
    </row>
    <row r="34" spans="1:5">
      <c r="A34" s="103">
        <v>2</v>
      </c>
      <c r="B34" s="104" t="s">
        <v>83</v>
      </c>
      <c r="C34" s="104" t="s">
        <v>26</v>
      </c>
      <c r="D34" s="104" t="s">
        <v>72</v>
      </c>
      <c r="E34" s="105">
        <v>14</v>
      </c>
    </row>
    <row r="35" spans="1:5">
      <c r="A35" s="103">
        <v>2</v>
      </c>
      <c r="B35" s="104" t="s">
        <v>83</v>
      </c>
      <c r="C35" s="104" t="s">
        <v>84</v>
      </c>
      <c r="D35" s="104" t="s">
        <v>72</v>
      </c>
      <c r="E35" s="105">
        <v>0</v>
      </c>
    </row>
    <row r="36" spans="1:5">
      <c r="A36" s="103">
        <v>2</v>
      </c>
      <c r="B36" s="104" t="s">
        <v>83</v>
      </c>
      <c r="C36" s="104" t="s">
        <v>85</v>
      </c>
      <c r="D36" s="104" t="s">
        <v>72</v>
      </c>
      <c r="E36" s="105">
        <v>0</v>
      </c>
    </row>
    <row r="37" spans="1:5">
      <c r="A37" s="103">
        <v>2</v>
      </c>
      <c r="B37" s="104" t="s">
        <v>83</v>
      </c>
      <c r="C37" s="104" t="s">
        <v>24</v>
      </c>
      <c r="D37" s="104" t="s">
        <v>75</v>
      </c>
      <c r="E37" s="105">
        <v>15</v>
      </c>
    </row>
    <row r="38" spans="1:5">
      <c r="A38" s="103">
        <v>2</v>
      </c>
      <c r="B38" s="104" t="s">
        <v>83</v>
      </c>
      <c r="C38" s="104" t="s">
        <v>25</v>
      </c>
      <c r="D38" s="104" t="s">
        <v>75</v>
      </c>
      <c r="E38" s="105">
        <v>14</v>
      </c>
    </row>
    <row r="39" spans="1:5">
      <c r="A39" s="103">
        <v>2</v>
      </c>
      <c r="B39" s="104" t="s">
        <v>83</v>
      </c>
      <c r="C39" s="104" t="s">
        <v>184</v>
      </c>
      <c r="D39" s="104" t="s">
        <v>75</v>
      </c>
      <c r="E39" s="105">
        <v>0</v>
      </c>
    </row>
    <row r="40" spans="1:5">
      <c r="A40" s="103">
        <v>3</v>
      </c>
      <c r="B40" s="104" t="s">
        <v>86</v>
      </c>
      <c r="C40" s="104" t="s">
        <v>185</v>
      </c>
      <c r="D40" s="104" t="s">
        <v>72</v>
      </c>
      <c r="E40" s="105">
        <v>15</v>
      </c>
    </row>
    <row r="41" spans="1:5">
      <c r="A41" s="103">
        <v>3</v>
      </c>
      <c r="B41" s="104" t="s">
        <v>86</v>
      </c>
      <c r="C41" s="104" t="s">
        <v>186</v>
      </c>
      <c r="D41" s="104" t="s">
        <v>72</v>
      </c>
      <c r="E41" s="105">
        <v>14</v>
      </c>
    </row>
    <row r="42" spans="1:5">
      <c r="A42" s="103">
        <v>3</v>
      </c>
      <c r="B42" s="104" t="s">
        <v>86</v>
      </c>
      <c r="C42" s="104" t="s">
        <v>187</v>
      </c>
      <c r="D42" s="104" t="s">
        <v>72</v>
      </c>
      <c r="E42" s="105">
        <v>13</v>
      </c>
    </row>
    <row r="43" spans="1:5">
      <c r="A43" s="103">
        <v>3</v>
      </c>
      <c r="B43" s="104" t="s">
        <v>86</v>
      </c>
      <c r="C43" s="104" t="s">
        <v>87</v>
      </c>
      <c r="D43" s="104" t="s">
        <v>72</v>
      </c>
      <c r="E43" s="105">
        <v>0</v>
      </c>
    </row>
    <row r="44" spans="1:5">
      <c r="A44" s="103">
        <v>3</v>
      </c>
      <c r="B44" s="104" t="s">
        <v>86</v>
      </c>
      <c r="C44" s="104" t="s">
        <v>188</v>
      </c>
      <c r="D44" s="104" t="s">
        <v>75</v>
      </c>
      <c r="E44" s="105">
        <v>12</v>
      </c>
    </row>
    <row r="45" spans="1:5">
      <c r="A45" s="103">
        <v>3</v>
      </c>
      <c r="B45" s="104" t="s">
        <v>86</v>
      </c>
      <c r="C45" s="104" t="s">
        <v>189</v>
      </c>
      <c r="D45" s="104" t="s">
        <v>75</v>
      </c>
      <c r="E45" s="105">
        <v>13</v>
      </c>
    </row>
    <row r="46" spans="1:5">
      <c r="A46" s="103">
        <v>3</v>
      </c>
      <c r="B46" s="104" t="s">
        <v>86</v>
      </c>
      <c r="C46" s="104" t="s">
        <v>190</v>
      </c>
      <c r="D46" s="104" t="s">
        <v>75</v>
      </c>
      <c r="E46" s="105">
        <v>8</v>
      </c>
    </row>
    <row r="47" spans="1:5">
      <c r="A47" s="103">
        <v>3</v>
      </c>
      <c r="B47" s="104" t="s">
        <v>86</v>
      </c>
      <c r="C47" s="104" t="s">
        <v>191</v>
      </c>
      <c r="D47" s="104" t="s">
        <v>75</v>
      </c>
      <c r="E47" s="105">
        <v>0</v>
      </c>
    </row>
    <row r="48" spans="1:5">
      <c r="A48" s="103">
        <v>2</v>
      </c>
      <c r="B48" s="104" t="s">
        <v>88</v>
      </c>
      <c r="C48" s="104" t="s">
        <v>29</v>
      </c>
      <c r="D48" s="104" t="s">
        <v>72</v>
      </c>
      <c r="E48" s="105">
        <v>15</v>
      </c>
    </row>
    <row r="49" spans="1:5">
      <c r="A49" s="103">
        <v>2</v>
      </c>
      <c r="B49" s="104" t="s">
        <v>88</v>
      </c>
      <c r="C49" s="104" t="s">
        <v>32</v>
      </c>
      <c r="D49" s="104" t="s">
        <v>72</v>
      </c>
      <c r="E49" s="105">
        <v>12</v>
      </c>
    </row>
    <row r="50" spans="1:5">
      <c r="A50" s="103">
        <v>2</v>
      </c>
      <c r="B50" s="104" t="s">
        <v>88</v>
      </c>
      <c r="C50" s="104" t="s">
        <v>30</v>
      </c>
      <c r="D50" s="104" t="s">
        <v>72</v>
      </c>
      <c r="E50" s="105">
        <v>15</v>
      </c>
    </row>
    <row r="51" spans="1:5">
      <c r="A51" s="103">
        <v>2</v>
      </c>
      <c r="B51" s="104" t="s">
        <v>88</v>
      </c>
      <c r="C51" s="104" t="s">
        <v>33</v>
      </c>
      <c r="D51" s="104" t="s">
        <v>75</v>
      </c>
      <c r="E51" s="105">
        <v>9</v>
      </c>
    </row>
    <row r="52" spans="1:5">
      <c r="A52" s="103">
        <v>2</v>
      </c>
      <c r="B52" s="104" t="s">
        <v>88</v>
      </c>
      <c r="C52" s="104" t="s">
        <v>31</v>
      </c>
      <c r="D52" s="104" t="s">
        <v>75</v>
      </c>
      <c r="E52" s="105">
        <v>14</v>
      </c>
    </row>
    <row r="53" spans="1:5">
      <c r="A53" s="103">
        <v>2</v>
      </c>
      <c r="B53" s="104" t="s">
        <v>88</v>
      </c>
      <c r="C53" s="104" t="s">
        <v>192</v>
      </c>
      <c r="D53" s="104" t="s">
        <v>75</v>
      </c>
      <c r="E53" s="105">
        <v>0</v>
      </c>
    </row>
    <row r="54" spans="1:5">
      <c r="A54" s="103">
        <v>2</v>
      </c>
      <c r="B54" s="104" t="s">
        <v>88</v>
      </c>
      <c r="C54" s="104" t="s">
        <v>193</v>
      </c>
      <c r="D54" s="104" t="s">
        <v>75</v>
      </c>
      <c r="E54" s="105">
        <v>1</v>
      </c>
    </row>
    <row r="55" spans="1:5">
      <c r="A55" s="103">
        <v>3</v>
      </c>
      <c r="B55" s="104" t="s">
        <v>89</v>
      </c>
      <c r="C55" s="104" t="s">
        <v>32</v>
      </c>
      <c r="D55" s="104" t="s">
        <v>72</v>
      </c>
      <c r="E55" s="105">
        <v>15</v>
      </c>
    </row>
    <row r="56" spans="1:5">
      <c r="A56" s="103">
        <v>3</v>
      </c>
      <c r="B56" s="104" t="s">
        <v>89</v>
      </c>
      <c r="C56" s="104" t="s">
        <v>194</v>
      </c>
      <c r="D56" s="104" t="s">
        <v>72</v>
      </c>
      <c r="E56" s="105">
        <v>9</v>
      </c>
    </row>
    <row r="57" spans="1:5">
      <c r="A57" s="103">
        <v>3</v>
      </c>
      <c r="B57" s="104" t="s">
        <v>89</v>
      </c>
      <c r="C57" s="104" t="s">
        <v>195</v>
      </c>
      <c r="D57" s="104" t="s">
        <v>72</v>
      </c>
      <c r="E57" s="105">
        <v>14</v>
      </c>
    </row>
    <row r="58" spans="1:5">
      <c r="A58" s="103">
        <v>3</v>
      </c>
      <c r="B58" s="104" t="s">
        <v>89</v>
      </c>
      <c r="C58" s="104" t="s">
        <v>196</v>
      </c>
      <c r="D58" s="104" t="s">
        <v>72</v>
      </c>
      <c r="E58" s="105">
        <v>14</v>
      </c>
    </row>
    <row r="59" spans="1:5">
      <c r="A59" s="103">
        <v>3</v>
      </c>
      <c r="B59" s="104" t="s">
        <v>89</v>
      </c>
      <c r="C59" s="104" t="s">
        <v>197</v>
      </c>
      <c r="D59" s="104" t="s">
        <v>72</v>
      </c>
      <c r="E59" s="105">
        <v>7</v>
      </c>
    </row>
    <row r="60" spans="1:5">
      <c r="A60" s="103">
        <v>3</v>
      </c>
      <c r="B60" s="104" t="s">
        <v>89</v>
      </c>
      <c r="C60" s="104" t="s">
        <v>198</v>
      </c>
      <c r="D60" s="104" t="s">
        <v>75</v>
      </c>
      <c r="E60" s="105">
        <v>0</v>
      </c>
    </row>
    <row r="61" spans="1:5">
      <c r="A61" s="103">
        <v>3</v>
      </c>
      <c r="B61" s="104" t="s">
        <v>89</v>
      </c>
      <c r="C61" s="104" t="s">
        <v>199</v>
      </c>
      <c r="D61" s="104" t="s">
        <v>75</v>
      </c>
      <c r="E61" s="105">
        <v>0</v>
      </c>
    </row>
    <row r="62" spans="1:5">
      <c r="A62" s="103">
        <v>3</v>
      </c>
      <c r="B62" s="104" t="s">
        <v>89</v>
      </c>
      <c r="C62" s="104" t="s">
        <v>200</v>
      </c>
      <c r="D62" s="104" t="s">
        <v>75</v>
      </c>
      <c r="E62" s="105">
        <v>13</v>
      </c>
    </row>
    <row r="63" spans="1:5">
      <c r="A63" s="103">
        <v>2</v>
      </c>
      <c r="B63" s="104" t="s">
        <v>90</v>
      </c>
      <c r="C63" s="104" t="s">
        <v>35</v>
      </c>
      <c r="D63" s="104" t="s">
        <v>72</v>
      </c>
      <c r="E63" s="105">
        <v>15</v>
      </c>
    </row>
    <row r="64" spans="1:5">
      <c r="A64" s="103">
        <v>2</v>
      </c>
      <c r="B64" s="104" t="s">
        <v>90</v>
      </c>
      <c r="C64" s="104" t="s">
        <v>39</v>
      </c>
      <c r="D64" s="104" t="s">
        <v>72</v>
      </c>
      <c r="E64" s="105">
        <v>13</v>
      </c>
    </row>
    <row r="65" spans="1:5">
      <c r="A65" s="103">
        <v>2</v>
      </c>
      <c r="B65" s="104" t="s">
        <v>90</v>
      </c>
      <c r="C65" s="104" t="s">
        <v>41</v>
      </c>
      <c r="D65" s="104" t="s">
        <v>72</v>
      </c>
      <c r="E65" s="105">
        <v>10</v>
      </c>
    </row>
    <row r="66" spans="1:5">
      <c r="A66" s="103">
        <v>2</v>
      </c>
      <c r="B66" s="104" t="s">
        <v>90</v>
      </c>
      <c r="C66" s="104" t="s">
        <v>38</v>
      </c>
      <c r="D66" s="104" t="s">
        <v>72</v>
      </c>
      <c r="E66" s="105">
        <v>14</v>
      </c>
    </row>
    <row r="67" spans="1:5">
      <c r="A67" s="103">
        <v>2</v>
      </c>
      <c r="B67" s="104" t="s">
        <v>90</v>
      </c>
      <c r="C67" s="104" t="s">
        <v>201</v>
      </c>
      <c r="D67" s="104" t="s">
        <v>72</v>
      </c>
      <c r="E67" s="105">
        <v>15</v>
      </c>
    </row>
    <row r="68" spans="1:5">
      <c r="A68" s="103">
        <v>2</v>
      </c>
      <c r="B68" s="104" t="s">
        <v>90</v>
      </c>
      <c r="C68" s="104" t="s">
        <v>91</v>
      </c>
      <c r="D68" s="104" t="s">
        <v>72</v>
      </c>
      <c r="E68" s="105">
        <v>0</v>
      </c>
    </row>
    <row r="69" spans="1:5">
      <c r="A69" s="103">
        <v>2</v>
      </c>
      <c r="B69" s="104" t="s">
        <v>90</v>
      </c>
      <c r="C69" s="104" t="s">
        <v>36</v>
      </c>
      <c r="D69" s="104" t="s">
        <v>75</v>
      </c>
      <c r="E69" s="105">
        <v>15</v>
      </c>
    </row>
    <row r="70" spans="1:5">
      <c r="A70" s="103">
        <v>2</v>
      </c>
      <c r="B70" s="104" t="s">
        <v>90</v>
      </c>
      <c r="C70" s="104" t="s">
        <v>202</v>
      </c>
      <c r="D70" s="104" t="s">
        <v>75</v>
      </c>
      <c r="E70" s="105">
        <v>13</v>
      </c>
    </row>
    <row r="71" spans="1:5">
      <c r="A71" s="103">
        <v>1</v>
      </c>
      <c r="B71" s="104" t="s">
        <v>92</v>
      </c>
      <c r="C71" s="104" t="s">
        <v>203</v>
      </c>
      <c r="D71" s="104" t="s">
        <v>72</v>
      </c>
      <c r="E71" s="105">
        <v>11</v>
      </c>
    </row>
    <row r="72" spans="1:5">
      <c r="A72" s="103">
        <v>1</v>
      </c>
      <c r="B72" s="104" t="s">
        <v>92</v>
      </c>
      <c r="C72" s="104" t="s">
        <v>204</v>
      </c>
      <c r="D72" s="104" t="s">
        <v>72</v>
      </c>
      <c r="E72" s="105">
        <v>14</v>
      </c>
    </row>
    <row r="73" spans="1:5">
      <c r="A73" s="103">
        <v>1</v>
      </c>
      <c r="B73" s="104" t="s">
        <v>92</v>
      </c>
      <c r="C73" s="104" t="s">
        <v>205</v>
      </c>
      <c r="D73" s="104" t="s">
        <v>72</v>
      </c>
      <c r="E73" s="105">
        <v>13</v>
      </c>
    </row>
    <row r="74" spans="1:5">
      <c r="A74" s="103">
        <v>1</v>
      </c>
      <c r="B74" s="104" t="s">
        <v>92</v>
      </c>
      <c r="C74" s="104" t="s">
        <v>206</v>
      </c>
      <c r="D74" s="104" t="s">
        <v>72</v>
      </c>
      <c r="E74" s="105">
        <v>15</v>
      </c>
    </row>
    <row r="75" spans="1:5">
      <c r="A75" s="103">
        <v>1</v>
      </c>
      <c r="B75" s="104" t="s">
        <v>92</v>
      </c>
      <c r="C75" s="104" t="s">
        <v>93</v>
      </c>
      <c r="D75" s="104" t="s">
        <v>72</v>
      </c>
      <c r="E75" s="105">
        <v>0</v>
      </c>
    </row>
    <row r="76" spans="1:5">
      <c r="A76" s="103">
        <v>1</v>
      </c>
      <c r="B76" s="104" t="s">
        <v>94</v>
      </c>
      <c r="C76" s="104" t="s">
        <v>207</v>
      </c>
      <c r="D76" s="104" t="s">
        <v>72</v>
      </c>
      <c r="E76" s="105">
        <v>10</v>
      </c>
    </row>
    <row r="77" spans="1:5">
      <c r="A77" s="103">
        <v>1</v>
      </c>
      <c r="B77" s="104" t="s">
        <v>94</v>
      </c>
      <c r="C77" s="104" t="s">
        <v>208</v>
      </c>
      <c r="D77" s="104" t="s">
        <v>72</v>
      </c>
      <c r="E77" s="105">
        <v>15</v>
      </c>
    </row>
    <row r="78" spans="1:5">
      <c r="A78" s="103">
        <v>1</v>
      </c>
      <c r="B78" s="104" t="s">
        <v>94</v>
      </c>
      <c r="C78" s="104" t="s">
        <v>209</v>
      </c>
      <c r="D78" s="104" t="s">
        <v>75</v>
      </c>
      <c r="E78" s="105">
        <v>0</v>
      </c>
    </row>
    <row r="79" spans="1:5">
      <c r="A79" s="103">
        <v>1</v>
      </c>
      <c r="B79" s="104" t="s">
        <v>94</v>
      </c>
      <c r="C79" s="104" t="s">
        <v>210</v>
      </c>
      <c r="D79" s="104" t="s">
        <v>75</v>
      </c>
      <c r="E79" s="105">
        <v>15</v>
      </c>
    </row>
    <row r="80" spans="1:5">
      <c r="A80" s="103">
        <v>1</v>
      </c>
      <c r="B80" s="104" t="s">
        <v>94</v>
      </c>
      <c r="C80" s="104" t="s">
        <v>211</v>
      </c>
      <c r="D80" s="104" t="s">
        <v>75</v>
      </c>
      <c r="E80" s="105">
        <v>10</v>
      </c>
    </row>
    <row r="81" spans="1:5">
      <c r="A81" s="106">
        <v>1</v>
      </c>
      <c r="B81" s="107" t="s">
        <v>94</v>
      </c>
      <c r="C81" s="107" t="s">
        <v>212</v>
      </c>
      <c r="D81" s="107" t="s">
        <v>75</v>
      </c>
      <c r="E81" s="108">
        <v>0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3:M8"/>
  <sheetViews>
    <sheetView workbookViewId="0"/>
  </sheetViews>
  <sheetFormatPr defaultColWidth="9" defaultRowHeight="18" customHeight="1"/>
  <cols>
    <col min="1" max="16384" width="9" style="58"/>
  </cols>
  <sheetData>
    <row r="3" spans="2:13" ht="18" customHeight="1">
      <c r="B3" s="55"/>
      <c r="C3" s="55"/>
      <c r="D3" s="56"/>
      <c r="E3" s="56"/>
      <c r="F3" s="56"/>
      <c r="G3" s="56"/>
      <c r="H3" s="56"/>
      <c r="I3" s="56"/>
      <c r="J3" s="57"/>
      <c r="K3" s="57"/>
      <c r="L3" s="57"/>
      <c r="M3" s="57"/>
    </row>
    <row r="4" spans="2:13" ht="18" customHeight="1">
      <c r="B4" s="59" t="s">
        <v>160</v>
      </c>
      <c r="C4" s="55"/>
      <c r="D4" s="56"/>
      <c r="E4" s="56"/>
      <c r="F4" s="56"/>
      <c r="G4" s="56"/>
      <c r="H4" s="56"/>
      <c r="I4" s="56"/>
      <c r="J4" s="60" t="s">
        <v>121</v>
      </c>
      <c r="K4" s="55"/>
      <c r="L4" s="55"/>
      <c r="M4" s="55"/>
    </row>
    <row r="5" spans="2:13" ht="18" customHeight="1">
      <c r="B5" s="61" t="s">
        <v>159</v>
      </c>
      <c r="C5" s="61" t="s">
        <v>158</v>
      </c>
      <c r="D5" s="61" t="s">
        <v>157</v>
      </c>
      <c r="E5" s="61" t="s">
        <v>95</v>
      </c>
      <c r="F5" s="61" t="s">
        <v>96</v>
      </c>
      <c r="H5" s="62"/>
      <c r="I5" s="56"/>
      <c r="J5" s="63" t="s">
        <v>156</v>
      </c>
      <c r="K5" s="63" t="s">
        <v>97</v>
      </c>
      <c r="L5" s="63" t="s">
        <v>155</v>
      </c>
    </row>
    <row r="6" spans="2:13" ht="18" customHeight="1">
      <c r="B6" s="64" t="s">
        <v>154</v>
      </c>
      <c r="C6" s="65">
        <v>93</v>
      </c>
      <c r="D6" s="65">
        <v>98.322291983426979</v>
      </c>
      <c r="E6" s="65">
        <v>100</v>
      </c>
      <c r="F6" s="65">
        <f>SUM(C6:E6)</f>
        <v>291.32229198342696</v>
      </c>
      <c r="H6" s="66"/>
      <c r="I6" s="56"/>
      <c r="J6" s="63" t="s">
        <v>153</v>
      </c>
      <c r="K6" s="67">
        <v>66.790000000000006</v>
      </c>
      <c r="L6" s="67">
        <v>21.1</v>
      </c>
    </row>
    <row r="7" spans="2:13" ht="18" customHeight="1">
      <c r="B7" s="64" t="s">
        <v>98</v>
      </c>
      <c r="C7" s="65">
        <f>(C6-K6)/L6*20+100</f>
        <v>124.84360189573459</v>
      </c>
      <c r="D7" s="65">
        <f>(D6-K7)/L7*20+100</f>
        <v>130.16968419815379</v>
      </c>
      <c r="E7" s="65">
        <f>(E6-K8)/L8*20+100</f>
        <v>134.98671390611162</v>
      </c>
      <c r="F7" s="65">
        <f>SUM(C7:E7)</f>
        <v>390</v>
      </c>
      <c r="H7" s="66"/>
      <c r="I7" s="56"/>
      <c r="J7" s="63" t="s">
        <v>152</v>
      </c>
      <c r="K7" s="67">
        <v>57.91</v>
      </c>
      <c r="L7" s="67">
        <v>26.79</v>
      </c>
    </row>
    <row r="8" spans="2:13" ht="18" customHeight="1">
      <c r="B8" s="55"/>
      <c r="C8" s="55"/>
      <c r="D8" s="56"/>
      <c r="E8" s="56"/>
      <c r="F8" s="56"/>
      <c r="G8" s="56"/>
      <c r="H8" s="56"/>
      <c r="I8" s="56"/>
      <c r="J8" s="63" t="s">
        <v>151</v>
      </c>
      <c r="K8" s="67">
        <v>60.5</v>
      </c>
      <c r="L8" s="67">
        <v>22.58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수학목표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I21"/>
  <sheetViews>
    <sheetView workbookViewId="0"/>
  </sheetViews>
  <sheetFormatPr defaultColWidth="9" defaultRowHeight="16.5"/>
  <cols>
    <col min="1" max="1" width="9" style="58"/>
    <col min="2" max="9" width="9" style="77"/>
    <col min="10" max="16384" width="9" style="58"/>
  </cols>
  <sheetData>
    <row r="2" spans="2:9" ht="26.25">
      <c r="B2" s="68" t="s">
        <v>150</v>
      </c>
      <c r="C2" s="68"/>
      <c r="D2" s="68"/>
      <c r="E2" s="68"/>
      <c r="F2" s="68"/>
      <c r="G2" s="68"/>
      <c r="H2" s="68"/>
      <c r="I2" s="68"/>
    </row>
    <row r="4" spans="2:9" ht="16.5" customHeight="1">
      <c r="B4" s="112" t="s">
        <v>99</v>
      </c>
      <c r="C4" s="69" t="s">
        <v>100</v>
      </c>
      <c r="D4" s="112" t="s">
        <v>101</v>
      </c>
      <c r="E4" s="112" t="s">
        <v>102</v>
      </c>
      <c r="F4" s="112" t="s">
        <v>103</v>
      </c>
      <c r="G4" s="112"/>
      <c r="H4" s="112" t="s">
        <v>104</v>
      </c>
      <c r="I4" s="112"/>
    </row>
    <row r="5" spans="2:9">
      <c r="B5" s="112"/>
      <c r="C5" s="69" t="s">
        <v>105</v>
      </c>
      <c r="D5" s="112"/>
      <c r="E5" s="112"/>
      <c r="F5" s="69" t="s">
        <v>106</v>
      </c>
      <c r="G5" s="69" t="s">
        <v>107</v>
      </c>
      <c r="H5" s="69" t="s">
        <v>108</v>
      </c>
      <c r="I5" s="69" t="s">
        <v>109</v>
      </c>
    </row>
    <row r="6" spans="2:9">
      <c r="B6" s="70">
        <v>42447</v>
      </c>
      <c r="C6" s="71">
        <v>1162.5</v>
      </c>
      <c r="D6" s="72" t="s">
        <v>110</v>
      </c>
      <c r="E6" s="73">
        <v>-6.4000000000000003E-3</v>
      </c>
      <c r="F6" s="74">
        <v>1182.8399999999999</v>
      </c>
      <c r="G6" s="74">
        <v>1142.1600000000001</v>
      </c>
      <c r="H6" s="74">
        <v>1173.8</v>
      </c>
      <c r="I6" s="74">
        <v>1151.2</v>
      </c>
    </row>
    <row r="7" spans="2:9">
      <c r="B7" s="70">
        <v>42446</v>
      </c>
      <c r="C7" s="71">
        <v>1170</v>
      </c>
      <c r="D7" s="72" t="s">
        <v>111</v>
      </c>
      <c r="E7" s="73">
        <v>-1.9599999999999999E-2</v>
      </c>
      <c r="F7" s="74">
        <v>1190.47</v>
      </c>
      <c r="G7" s="74">
        <v>1149.53</v>
      </c>
      <c r="H7" s="74">
        <v>1181.4000000000001</v>
      </c>
      <c r="I7" s="74">
        <v>1158.5999999999999</v>
      </c>
    </row>
    <row r="8" spans="2:9">
      <c r="B8" s="70">
        <v>42445</v>
      </c>
      <c r="C8" s="71">
        <v>1193.4000000000001</v>
      </c>
      <c r="D8" s="75" t="s">
        <v>112</v>
      </c>
      <c r="E8" s="76">
        <v>2.8999999999999998E-3</v>
      </c>
      <c r="F8" s="74">
        <v>1214.28</v>
      </c>
      <c r="G8" s="74">
        <v>1172.52</v>
      </c>
      <c r="H8" s="74">
        <v>1205</v>
      </c>
      <c r="I8" s="74">
        <v>1181.8</v>
      </c>
    </row>
    <row r="9" spans="2:9">
      <c r="B9" s="70">
        <v>42444</v>
      </c>
      <c r="C9" s="71">
        <v>1190</v>
      </c>
      <c r="D9" s="75" t="s">
        <v>113</v>
      </c>
      <c r="E9" s="76">
        <v>2.0999999999999999E-3</v>
      </c>
      <c r="F9" s="74">
        <v>1210.82</v>
      </c>
      <c r="G9" s="74">
        <v>1169.18</v>
      </c>
      <c r="H9" s="74">
        <v>1201.5999999999999</v>
      </c>
      <c r="I9" s="74">
        <v>1178.4000000000001</v>
      </c>
    </row>
    <row r="10" spans="2:9">
      <c r="B10" s="70">
        <v>42443</v>
      </c>
      <c r="C10" s="71">
        <v>1187.5</v>
      </c>
      <c r="D10" s="72" t="s">
        <v>114</v>
      </c>
      <c r="E10" s="73">
        <v>-5.4000000000000003E-3</v>
      </c>
      <c r="F10" s="74">
        <v>1208.28</v>
      </c>
      <c r="G10" s="74">
        <v>1166.72</v>
      </c>
      <c r="H10" s="74">
        <v>1199.0999999999999</v>
      </c>
      <c r="I10" s="74">
        <v>1175.9000000000001</v>
      </c>
    </row>
    <row r="13" spans="2:9" ht="26.25">
      <c r="B13" s="68" t="s">
        <v>149</v>
      </c>
      <c r="C13" s="68"/>
      <c r="D13" s="68"/>
      <c r="E13" s="68"/>
      <c r="F13" s="68"/>
      <c r="G13" s="68"/>
      <c r="H13" s="68"/>
      <c r="I13" s="68"/>
    </row>
    <row r="15" spans="2:9">
      <c r="B15" s="112" t="s">
        <v>99</v>
      </c>
      <c r="C15" s="69" t="s">
        <v>100</v>
      </c>
      <c r="D15" s="112" t="s">
        <v>101</v>
      </c>
      <c r="E15" s="112" t="s">
        <v>102</v>
      </c>
      <c r="F15" s="112" t="s">
        <v>103</v>
      </c>
      <c r="G15" s="112"/>
      <c r="H15" s="112" t="s">
        <v>104</v>
      </c>
      <c r="I15" s="112"/>
    </row>
    <row r="16" spans="2:9">
      <c r="B16" s="112"/>
      <c r="C16" s="69" t="s">
        <v>105</v>
      </c>
      <c r="D16" s="112"/>
      <c r="E16" s="112"/>
      <c r="F16" s="69" t="s">
        <v>106</v>
      </c>
      <c r="G16" s="69" t="s">
        <v>107</v>
      </c>
      <c r="H16" s="69" t="s">
        <v>108</v>
      </c>
      <c r="I16" s="69" t="s">
        <v>109</v>
      </c>
    </row>
    <row r="17" spans="2:9">
      <c r="B17" s="70">
        <v>42447</v>
      </c>
      <c r="C17" s="71">
        <v>179</v>
      </c>
      <c r="D17" s="72" t="s">
        <v>115</v>
      </c>
      <c r="E17" s="73">
        <v>8.0999999999999996E-3</v>
      </c>
      <c r="F17" s="74">
        <v>191.53</v>
      </c>
      <c r="G17" s="74">
        <v>170.05</v>
      </c>
      <c r="H17" s="74">
        <v>180.79</v>
      </c>
      <c r="I17" s="74">
        <v>177.21</v>
      </c>
    </row>
    <row r="18" spans="2:9">
      <c r="B18" s="70">
        <v>42446</v>
      </c>
      <c r="C18" s="71">
        <v>177.57</v>
      </c>
      <c r="D18" s="72" t="s">
        <v>116</v>
      </c>
      <c r="E18" s="73">
        <v>-2.3999999999999998E-3</v>
      </c>
      <c r="F18" s="74">
        <v>189.99</v>
      </c>
      <c r="G18" s="74">
        <v>168.7</v>
      </c>
      <c r="H18" s="74">
        <v>179.34</v>
      </c>
      <c r="I18" s="74">
        <v>175.8</v>
      </c>
    </row>
    <row r="19" spans="2:9">
      <c r="B19" s="70">
        <v>42445</v>
      </c>
      <c r="C19" s="71">
        <v>178</v>
      </c>
      <c r="D19" s="75" t="s">
        <v>117</v>
      </c>
      <c r="E19" s="76">
        <v>0.01</v>
      </c>
      <c r="F19" s="74">
        <v>190.46</v>
      </c>
      <c r="G19" s="74">
        <v>169.1</v>
      </c>
      <c r="H19" s="74">
        <v>179.78</v>
      </c>
      <c r="I19" s="74">
        <v>176.22</v>
      </c>
    </row>
    <row r="20" spans="2:9">
      <c r="B20" s="70">
        <v>42444</v>
      </c>
      <c r="C20" s="71">
        <v>176.24</v>
      </c>
      <c r="D20" s="75" t="s">
        <v>118</v>
      </c>
      <c r="E20" s="76">
        <v>-4.1999999999999997E-3</v>
      </c>
      <c r="F20" s="74">
        <v>188.57</v>
      </c>
      <c r="G20" s="74">
        <v>167.43</v>
      </c>
      <c r="H20" s="74">
        <v>178</v>
      </c>
      <c r="I20" s="74">
        <v>174.48</v>
      </c>
    </row>
    <row r="21" spans="2:9">
      <c r="B21" s="70">
        <v>42443</v>
      </c>
      <c r="C21" s="71">
        <v>176.99</v>
      </c>
      <c r="D21" s="72" t="s">
        <v>119</v>
      </c>
      <c r="E21" s="73">
        <v>-1.06E-2</v>
      </c>
      <c r="F21" s="74">
        <v>189.37</v>
      </c>
      <c r="G21" s="74">
        <v>168.15</v>
      </c>
      <c r="H21" s="74">
        <v>178.75</v>
      </c>
      <c r="I21" s="74">
        <v>175.23</v>
      </c>
    </row>
  </sheetData>
  <mergeCells count="10">
    <mergeCell ref="B4:B5"/>
    <mergeCell ref="D4:D5"/>
    <mergeCell ref="E4:E5"/>
    <mergeCell ref="F4:G4"/>
    <mergeCell ref="H4:I4"/>
    <mergeCell ref="B15:B16"/>
    <mergeCell ref="D15:D16"/>
    <mergeCell ref="E15:E16"/>
    <mergeCell ref="F15:G15"/>
    <mergeCell ref="H15:I15"/>
  </mergeCells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4:P21"/>
  <sheetViews>
    <sheetView workbookViewId="0"/>
  </sheetViews>
  <sheetFormatPr defaultColWidth="9" defaultRowHeight="16.5"/>
  <cols>
    <col min="1" max="1" width="9" style="58"/>
    <col min="2" max="2" width="11.125" style="77" bestFit="1" customWidth="1"/>
    <col min="3" max="3" width="9" style="77"/>
    <col min="4" max="5" width="11" style="77" bestFit="1" customWidth="1"/>
    <col min="6" max="6" width="11" style="78" customWidth="1"/>
    <col min="7" max="11" width="9" style="58"/>
    <col min="12" max="12" width="9" style="78"/>
    <col min="13" max="15" width="9" style="58"/>
    <col min="16" max="16" width="9" style="77"/>
    <col min="17" max="16384" width="9" style="58"/>
  </cols>
  <sheetData>
    <row r="4" spans="2:16">
      <c r="B4" s="77" t="s">
        <v>120</v>
      </c>
      <c r="M4" s="77" t="s">
        <v>121</v>
      </c>
    </row>
    <row r="5" spans="2:16">
      <c r="B5" s="79" t="s">
        <v>122</v>
      </c>
      <c r="C5" s="79" t="s">
        <v>123</v>
      </c>
      <c r="D5" s="79" t="s">
        <v>124</v>
      </c>
      <c r="E5" s="80" t="s">
        <v>125</v>
      </c>
      <c r="F5" s="79" t="s">
        <v>126</v>
      </c>
      <c r="G5" s="79" t="s">
        <v>127</v>
      </c>
      <c r="H5" s="80" t="s">
        <v>128</v>
      </c>
      <c r="I5" s="81"/>
      <c r="J5" s="81"/>
      <c r="K5" s="81"/>
      <c r="L5" s="58"/>
      <c r="M5" s="79" t="s">
        <v>122</v>
      </c>
      <c r="N5" s="79" t="s">
        <v>125</v>
      </c>
      <c r="P5" s="58"/>
    </row>
    <row r="6" spans="2:16">
      <c r="B6" s="77" t="s">
        <v>129</v>
      </c>
      <c r="C6" s="77" t="s">
        <v>130</v>
      </c>
      <c r="D6" s="77" t="s">
        <v>131</v>
      </c>
      <c r="E6" s="78">
        <v>3000</v>
      </c>
      <c r="F6" s="82">
        <v>0.54166666666666663</v>
      </c>
      <c r="G6" s="82">
        <v>0.625</v>
      </c>
      <c r="H6" s="78">
        <v>6000</v>
      </c>
      <c r="I6" s="78"/>
      <c r="J6" s="78"/>
      <c r="K6" s="78"/>
      <c r="L6" s="58"/>
      <c r="M6" s="63" t="s">
        <v>132</v>
      </c>
      <c r="N6" s="83">
        <v>0</v>
      </c>
      <c r="P6" s="58"/>
    </row>
    <row r="7" spans="2:16">
      <c r="B7" s="77" t="s">
        <v>133</v>
      </c>
      <c r="C7" s="77" t="s">
        <v>134</v>
      </c>
      <c r="D7" s="77" t="s">
        <v>135</v>
      </c>
      <c r="E7" s="78">
        <v>4000</v>
      </c>
      <c r="F7" s="82">
        <v>0.65277777777777779</v>
      </c>
      <c r="G7" s="82">
        <v>0.72916666666666663</v>
      </c>
      <c r="H7" s="78">
        <v>8000</v>
      </c>
      <c r="I7" s="78"/>
      <c r="J7" s="78"/>
      <c r="K7" s="78"/>
      <c r="L7" s="58"/>
      <c r="M7" s="63" t="s">
        <v>136</v>
      </c>
      <c r="N7" s="83">
        <v>3000</v>
      </c>
      <c r="P7" s="58"/>
    </row>
    <row r="8" spans="2:16">
      <c r="B8" s="77" t="s">
        <v>213</v>
      </c>
      <c r="C8" s="77" t="s">
        <v>214</v>
      </c>
      <c r="D8" s="77" t="s">
        <v>135</v>
      </c>
      <c r="E8" s="78">
        <v>0</v>
      </c>
      <c r="F8" s="82">
        <v>13</v>
      </c>
      <c r="G8" s="82">
        <v>17</v>
      </c>
      <c r="H8" s="78">
        <v>0</v>
      </c>
      <c r="I8" s="78"/>
      <c r="J8" s="78"/>
      <c r="K8" s="78"/>
      <c r="L8" s="58"/>
      <c r="M8" s="63" t="s">
        <v>137</v>
      </c>
      <c r="N8" s="83">
        <v>4000</v>
      </c>
      <c r="P8" s="58"/>
    </row>
    <row r="9" spans="2:16">
      <c r="E9" s="78"/>
      <c r="F9" s="82"/>
      <c r="G9" s="82"/>
      <c r="H9" s="78"/>
      <c r="I9" s="78"/>
      <c r="J9" s="78"/>
      <c r="K9" s="78"/>
      <c r="L9" s="58"/>
      <c r="M9" s="77"/>
      <c r="P9" s="58"/>
    </row>
    <row r="10" spans="2:16">
      <c r="E10" s="78"/>
      <c r="F10" s="82"/>
      <c r="G10" s="82"/>
      <c r="H10" s="78"/>
      <c r="I10" s="78"/>
      <c r="J10" s="78"/>
      <c r="K10" s="78"/>
      <c r="L10" s="58"/>
      <c r="M10" s="77"/>
      <c r="P10" s="58"/>
    </row>
    <row r="11" spans="2:16">
      <c r="E11" s="78"/>
      <c r="F11" s="82"/>
      <c r="G11" s="82"/>
      <c r="H11" s="78"/>
      <c r="I11" s="78"/>
      <c r="J11" s="78"/>
      <c r="K11" s="78"/>
      <c r="L11" s="58"/>
      <c r="M11" s="77"/>
      <c r="P11" s="58"/>
    </row>
    <row r="12" spans="2:16">
      <c r="E12" s="78"/>
      <c r="F12" s="82"/>
      <c r="G12" s="82"/>
      <c r="H12" s="78"/>
      <c r="I12" s="78"/>
      <c r="J12" s="78"/>
      <c r="K12" s="78"/>
      <c r="L12" s="58"/>
      <c r="M12" s="77"/>
      <c r="P12" s="58"/>
    </row>
    <row r="13" spans="2:16">
      <c r="E13" s="78"/>
      <c r="F13" s="82"/>
      <c r="G13" s="82"/>
      <c r="H13" s="78"/>
      <c r="I13" s="78"/>
      <c r="J13" s="78"/>
      <c r="K13" s="78"/>
      <c r="L13" s="58"/>
      <c r="M13" s="77"/>
      <c r="P13" s="58"/>
    </row>
    <row r="14" spans="2:16">
      <c r="E14" s="78"/>
      <c r="F14" s="82"/>
      <c r="G14" s="82"/>
      <c r="H14" s="78"/>
      <c r="I14" s="78"/>
      <c r="J14" s="78"/>
      <c r="K14" s="78"/>
      <c r="L14" s="58"/>
      <c r="M14" s="77"/>
      <c r="P14" s="58"/>
    </row>
    <row r="15" spans="2:16">
      <c r="E15" s="78"/>
      <c r="F15" s="82"/>
      <c r="G15" s="82"/>
      <c r="H15" s="78"/>
      <c r="I15" s="78"/>
      <c r="J15" s="78"/>
      <c r="K15" s="78"/>
      <c r="L15" s="58"/>
      <c r="M15" s="77"/>
      <c r="P15" s="58"/>
    </row>
    <row r="16" spans="2:16">
      <c r="E16" s="78"/>
      <c r="F16" s="82"/>
      <c r="G16" s="82"/>
      <c r="H16" s="78"/>
      <c r="I16" s="78"/>
      <c r="J16" s="78"/>
      <c r="K16" s="78"/>
      <c r="L16" s="58"/>
      <c r="M16" s="77"/>
      <c r="P16" s="58"/>
    </row>
    <row r="17" spans="5:16">
      <c r="E17" s="78"/>
      <c r="F17" s="82"/>
      <c r="G17" s="82"/>
      <c r="H17" s="78"/>
      <c r="I17" s="78"/>
      <c r="J17" s="78"/>
      <c r="K17" s="78"/>
      <c r="L17" s="58"/>
      <c r="M17" s="77"/>
      <c r="P17" s="58"/>
    </row>
    <row r="18" spans="5:16">
      <c r="E18" s="78"/>
      <c r="F18" s="82"/>
      <c r="G18" s="82"/>
      <c r="H18" s="78"/>
      <c r="I18" s="78"/>
      <c r="J18" s="78"/>
      <c r="K18" s="78"/>
      <c r="L18" s="58"/>
      <c r="M18" s="77"/>
      <c r="P18" s="58"/>
    </row>
    <row r="19" spans="5:16">
      <c r="E19" s="78"/>
      <c r="F19" s="58"/>
      <c r="H19" s="78"/>
      <c r="I19" s="78"/>
      <c r="J19" s="78"/>
      <c r="K19" s="78"/>
      <c r="L19" s="58"/>
      <c r="M19" s="77"/>
      <c r="P19" s="58"/>
    </row>
    <row r="20" spans="5:16">
      <c r="E20" s="78"/>
      <c r="F20" s="58"/>
      <c r="H20" s="78"/>
      <c r="I20" s="78"/>
      <c r="J20" s="78"/>
      <c r="K20" s="78"/>
      <c r="L20" s="58"/>
      <c r="M20" s="77"/>
      <c r="P20" s="58"/>
    </row>
    <row r="21" spans="5:16">
      <c r="I21" s="78"/>
      <c r="J21" s="78"/>
      <c r="K21" s="78"/>
      <c r="L21" s="58"/>
      <c r="M21" s="77"/>
      <c r="P21" s="58"/>
    </row>
  </sheetData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381000</xdr:colOff>
                <xdr:row>3</xdr:row>
                <xdr:rowOff>95250</xdr:rowOff>
              </to>
            </anchor>
          </controlPr>
        </control>
      </mc:Choice>
      <mc:Fallback>
        <control shapeId="5121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dcterms:created xsi:type="dcterms:W3CDTF">2017-08-28T12:24:22Z</dcterms:created>
  <dcterms:modified xsi:type="dcterms:W3CDTF">2017-09-12T05:36:14Z</dcterms:modified>
</cp:coreProperties>
</file>