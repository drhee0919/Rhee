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165" windowWidth="19395" windowHeight="12495"/>
  </bookViews>
  <sheets>
    <sheet name="기본작업-1" sheetId="1" r:id="rId1"/>
    <sheet name="기본작업-2" sheetId="2" r:id="rId2"/>
    <sheet name="계산작업" sheetId="3" r:id="rId3"/>
    <sheet name="분석작업-1" sheetId="5" r:id="rId4"/>
    <sheet name="분석작업-2" sheetId="11" r:id="rId5"/>
    <sheet name="기타작업-1" sheetId="12" r:id="rId6"/>
    <sheet name="기타작업-2" sheetId="8" r:id="rId7"/>
  </sheets>
  <functionGroups builtInGroupCount="17"/>
  <definedNames>
    <definedName name="_xlnm._FilterDatabase" localSheetId="2" hidden="1">계산작업!$A$3:$M$33</definedName>
    <definedName name="_xlnm._FilterDatabase" localSheetId="1" hidden="1">'기본작업-2'!$A$4:$K$34</definedName>
    <definedName name="_xlnm.Criteria" localSheetId="2">계산작업!#REF!</definedName>
    <definedName name="_xlnm.Criteria" localSheetId="1">'기본작업-2'!$A$36:$A$37</definedName>
    <definedName name="_xlnm.Extract" localSheetId="2">계산작업!#REF!</definedName>
    <definedName name="_xlnm.Extract" localSheetId="1">'기본작업-2'!$A$39:$K$39</definedName>
    <definedName name="MS_Access_Database_Query" localSheetId="0" hidden="1">'기본작업-1'!$A$2:$E$11</definedName>
    <definedName name="_xlnm.Print_Area" localSheetId="1">'기본작업-2'!$A$2:$K$34</definedName>
    <definedName name="_xlnm.Print_Titles" localSheetId="1">'기본작업-2'!$2:$4</definedName>
  </definedNames>
  <calcPr calcId="145621"/>
  <pivotCaches>
    <pivotCache cacheId="7" r:id="rId8"/>
  </pivotCaches>
</workbook>
</file>

<file path=xl/calcChain.xml><?xml version="1.0" encoding="utf-8"?>
<calcChain xmlns="http://schemas.openxmlformats.org/spreadsheetml/2006/main">
  <c r="K37" i="11" l="1"/>
  <c r="K36" i="11"/>
  <c r="K20" i="11"/>
  <c r="Q15" i="3" l="1" a="1"/>
  <c r="Q15" i="3" s="1"/>
  <c r="P15" i="3" a="1"/>
  <c r="P15" i="3" s="1"/>
  <c r="Q14" i="3" a="1"/>
  <c r="Q14" i="3" s="1"/>
  <c r="P14" i="3" a="1"/>
  <c r="P14" i="3" s="1"/>
  <c r="A37" i="2" l="1"/>
  <c r="Q4" i="3" l="1"/>
  <c r="R4" i="3"/>
  <c r="S4" i="3"/>
  <c r="Q5" i="3"/>
  <c r="R5" i="3"/>
  <c r="S5" i="3"/>
  <c r="P5" i="3"/>
  <c r="P4" i="3"/>
  <c r="Q9" i="3" a="1"/>
  <c r="Q9" i="3" s="1"/>
  <c r="R9" i="3" a="1"/>
  <c r="R9" i="3"/>
  <c r="S9" i="3" a="1"/>
  <c r="S9" i="3" s="1"/>
  <c r="Q10" i="3" a="1"/>
  <c r="Q10" i="3" s="1"/>
  <c r="R10" i="3" a="1"/>
  <c r="R10" i="3" s="1"/>
  <c r="S10" i="3" a="1"/>
  <c r="S10" i="3" s="1"/>
  <c r="P10" i="3" a="1"/>
  <c r="P10" i="3" s="1"/>
  <c r="K4" i="3" l="1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L5" i="3" l="1"/>
  <c r="L6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M10" i="3"/>
  <c r="M25" i="3"/>
  <c r="M13" i="3"/>
  <c r="M30" i="3"/>
  <c r="M32" i="3"/>
  <c r="M31" i="3"/>
  <c r="M8" i="3"/>
  <c r="M28" i="3"/>
  <c r="M14" i="3"/>
  <c r="M15" i="3"/>
  <c r="M12" i="3"/>
  <c r="M9" i="3"/>
  <c r="M29" i="3"/>
  <c r="M19" i="3"/>
  <c r="M20" i="3"/>
  <c r="M22" i="3"/>
  <c r="M16" i="3"/>
  <c r="M21" i="3"/>
  <c r="M5" i="3"/>
  <c r="M17" i="3"/>
  <c r="M23" i="3"/>
  <c r="M33" i="3"/>
  <c r="M27" i="3"/>
  <c r="M24" i="3"/>
  <c r="M26" i="3"/>
  <c r="M11" i="3"/>
  <c r="M7" i="3"/>
  <c r="M6" i="3"/>
  <c r="M18" i="3"/>
  <c r="L8" i="3" l="1"/>
  <c r="L7" i="3"/>
  <c r="P9" i="3" a="1"/>
  <c r="P9" i="3" s="1"/>
  <c r="L4" i="3"/>
  <c r="M4" i="3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D:\11 메일링서비스\컴활1급실기-메일링\19년1회대비-컴활1급실기\18년2회1급E형\취업현황.accdb;DefaultDir=D:\11 메일링서비스\컴활1급실기-메일링\19년1회대비-컴활1급실기\18년2회1급E형;DriverId=25;FIL=MS Access;MaxBufferSize=2048;PageTimeout=5;" command="SELECT 졸업자.단과대학, 졸업자.학과, 졸업자.성별, 졸업자.졸업자, 졸업자.취업률_x000d__x000a_FROM 졸업자 졸업자_x000d__x000a_WHERE (졸업자.단과대학='사회과학대학') AND (졸업자.성별='여') AND (졸업자.취업률&gt;=0.5) OR (졸업자.단과대학='인문대학') AND (졸업자.성별='여') AND (졸업자.취업률&gt;=0.5)_x000d__x000a_ORDER BY 졸업자.단과대학, 졸업자.취업률 DESC"/>
  </connection>
</connections>
</file>

<file path=xl/sharedStrings.xml><?xml version="1.0" encoding="utf-8"?>
<sst xmlns="http://schemas.openxmlformats.org/spreadsheetml/2006/main" count="565" uniqueCount="107">
  <si>
    <t>단과대학</t>
    <phoneticPr fontId="2" type="noConversion"/>
  </si>
  <si>
    <t>인문대학</t>
    <phoneticPr fontId="2" type="noConversion"/>
  </si>
  <si>
    <t>사범대학</t>
    <phoneticPr fontId="2" type="noConversion"/>
  </si>
  <si>
    <t>사회과학대학</t>
    <phoneticPr fontId="2" type="noConversion"/>
  </si>
  <si>
    <t>학과</t>
    <phoneticPr fontId="2" type="noConversion"/>
  </si>
  <si>
    <t>성별</t>
    <phoneticPr fontId="2" type="noConversion"/>
  </si>
  <si>
    <t>졸업자</t>
    <phoneticPr fontId="2" type="noConversion"/>
  </si>
  <si>
    <t>건강보험연계</t>
    <phoneticPr fontId="2" type="noConversion"/>
  </si>
  <si>
    <t>해외취업자</t>
    <phoneticPr fontId="2" type="noConversion"/>
  </si>
  <si>
    <t>창업자</t>
    <phoneticPr fontId="2" type="noConversion"/>
  </si>
  <si>
    <t>프리랜서</t>
    <phoneticPr fontId="2" type="noConversion"/>
  </si>
  <si>
    <t>진학자</t>
    <phoneticPr fontId="2" type="noConversion"/>
  </si>
  <si>
    <t>입대자</t>
    <phoneticPr fontId="2" type="noConversion"/>
  </si>
  <si>
    <t>취업률</t>
    <phoneticPr fontId="2" type="noConversion"/>
  </si>
  <si>
    <t>[표1]</t>
    <phoneticPr fontId="2" type="noConversion"/>
  </si>
  <si>
    <t>성별</t>
    <phoneticPr fontId="2" type="noConversion"/>
  </si>
  <si>
    <t>남</t>
    <phoneticPr fontId="2" type="noConversion"/>
  </si>
  <si>
    <t>여</t>
    <phoneticPr fontId="2" type="noConversion"/>
  </si>
  <si>
    <t>[표2] 성별별 구분별 취업률</t>
    <phoneticPr fontId="2" type="noConversion"/>
  </si>
  <si>
    <t>단과대학</t>
    <phoneticPr fontId="2" type="noConversion"/>
  </si>
  <si>
    <t>인문대학</t>
    <phoneticPr fontId="2" type="noConversion"/>
  </si>
  <si>
    <t>사회과학대학</t>
    <phoneticPr fontId="2" type="noConversion"/>
  </si>
  <si>
    <t>국어국문학과</t>
    <phoneticPr fontId="2" type="noConversion"/>
  </si>
  <si>
    <t>영어영문학과</t>
    <phoneticPr fontId="2" type="noConversion"/>
  </si>
  <si>
    <t>철학과</t>
    <phoneticPr fontId="2" type="noConversion"/>
  </si>
  <si>
    <t>문헌정보학과</t>
    <phoneticPr fontId="2" type="noConversion"/>
  </si>
  <si>
    <t>역사학과</t>
    <phoneticPr fontId="2" type="noConversion"/>
  </si>
  <si>
    <t>중어중문학과</t>
    <phoneticPr fontId="2" type="noConversion"/>
  </si>
  <si>
    <t>행정학과</t>
    <phoneticPr fontId="2" type="noConversion"/>
  </si>
  <si>
    <t>정치외교학과</t>
    <phoneticPr fontId="2" type="noConversion"/>
  </si>
  <si>
    <t>사회학과</t>
    <phoneticPr fontId="2" type="noConversion"/>
  </si>
  <si>
    <t>심리학과</t>
    <phoneticPr fontId="2" type="noConversion"/>
  </si>
  <si>
    <t>사회복지학과</t>
    <phoneticPr fontId="2" type="noConversion"/>
  </si>
  <si>
    <t>교육학과</t>
    <phoneticPr fontId="2" type="noConversion"/>
  </si>
  <si>
    <t>국어교육과</t>
    <phoneticPr fontId="2" type="noConversion"/>
  </si>
  <si>
    <t>영어 교육과</t>
    <phoneticPr fontId="2" type="noConversion"/>
  </si>
  <si>
    <t>수학교육과</t>
    <phoneticPr fontId="2" type="noConversion"/>
  </si>
  <si>
    <t>[표3] 단과대학별 구분별 최대 취업자 배출 학과</t>
    <phoneticPr fontId="2" type="noConversion"/>
  </si>
  <si>
    <t>취업률</t>
    <phoneticPr fontId="2" type="noConversion"/>
  </si>
  <si>
    <t>창업률</t>
    <phoneticPr fontId="2" type="noConversion"/>
  </si>
  <si>
    <t>취업분석</t>
    <phoneticPr fontId="2" type="noConversion"/>
  </si>
  <si>
    <t>[표4] 성별별 취업률과 창업률</t>
    <phoneticPr fontId="2" type="noConversion"/>
  </si>
  <si>
    <t>성별</t>
  </si>
  <si>
    <t>여</t>
  </si>
  <si>
    <t>취업률</t>
  </si>
  <si>
    <t>단과대학</t>
  </si>
  <si>
    <t>학과</t>
  </si>
  <si>
    <t>졸업자</t>
  </si>
  <si>
    <t>건강보험연계</t>
  </si>
  <si>
    <t>해외취업자</t>
  </si>
  <si>
    <t>창업자</t>
  </si>
  <si>
    <t>프리랜서</t>
  </si>
  <si>
    <t>진학자</t>
  </si>
  <si>
    <t>입대자</t>
  </si>
  <si>
    <t>인문대학</t>
  </si>
  <si>
    <t>국어국문학과</t>
  </si>
  <si>
    <t>남</t>
  </si>
  <si>
    <t>영어영문학과</t>
  </si>
  <si>
    <t>철학과</t>
  </si>
  <si>
    <t>문헌정보학과</t>
  </si>
  <si>
    <t>역사학과</t>
  </si>
  <si>
    <t>중어중문학과</t>
  </si>
  <si>
    <t>사회과학대학</t>
  </si>
  <si>
    <t>행정학과</t>
  </si>
  <si>
    <t>정치외교학과</t>
  </si>
  <si>
    <t>사회학과</t>
  </si>
  <si>
    <t>심리학과</t>
  </si>
  <si>
    <t>사회복지학과</t>
  </si>
  <si>
    <t>사범대학</t>
  </si>
  <si>
    <t>교육학과</t>
  </si>
  <si>
    <t>국어교육과</t>
  </si>
  <si>
    <t>영어 교육과</t>
  </si>
  <si>
    <t>수학교육과</t>
  </si>
  <si>
    <t>졸업자의 취업 및 창업 현황</t>
    <phoneticPr fontId="2" type="noConversion"/>
  </si>
  <si>
    <t>조건</t>
    <phoneticPr fontId="2" type="noConversion"/>
  </si>
  <si>
    <t>비고</t>
    <phoneticPr fontId="2" type="noConversion"/>
  </si>
  <si>
    <t>[표1]</t>
    <phoneticPr fontId="2" type="noConversion"/>
  </si>
  <si>
    <t>총합계</t>
  </si>
  <si>
    <t>평균 : 취업률</t>
  </si>
  <si>
    <t>남 평균</t>
  </si>
  <si>
    <t>여 평균</t>
  </si>
  <si>
    <t>전체 평균</t>
  </si>
  <si>
    <t>국어국문학과</t>
    <phoneticPr fontId="2" type="noConversion"/>
  </si>
  <si>
    <t>문헌정보학과</t>
    <phoneticPr fontId="2" type="noConversion"/>
  </si>
  <si>
    <t>역사학과</t>
    <phoneticPr fontId="2" type="noConversion"/>
  </si>
  <si>
    <t>영어영문학과</t>
    <phoneticPr fontId="2" type="noConversion"/>
  </si>
  <si>
    <t>중어중문학과</t>
    <phoneticPr fontId="2" type="noConversion"/>
  </si>
  <si>
    <t>철학과</t>
    <phoneticPr fontId="2" type="noConversion"/>
  </si>
  <si>
    <t>단과대학 졸업 현황</t>
    <phoneticPr fontId="2" type="noConversion"/>
  </si>
  <si>
    <t>[표1]</t>
    <phoneticPr fontId="2" type="noConversion"/>
  </si>
  <si>
    <t>구분</t>
    <phoneticPr fontId="2" type="noConversion"/>
  </si>
  <si>
    <t>품목</t>
    <phoneticPr fontId="2" type="noConversion"/>
  </si>
  <si>
    <t>단가</t>
    <phoneticPr fontId="2" type="noConversion"/>
  </si>
  <si>
    <t>가격</t>
    <phoneticPr fontId="2" type="noConversion"/>
  </si>
  <si>
    <t>개수</t>
    <phoneticPr fontId="2" type="noConversion"/>
  </si>
  <si>
    <t>칫솔</t>
  </si>
  <si>
    <t>칫솔</t>
    <phoneticPr fontId="2" type="noConversion"/>
  </si>
  <si>
    <t>치약</t>
    <phoneticPr fontId="2" type="noConversion"/>
  </si>
  <si>
    <t>화장지</t>
  </si>
  <si>
    <t>화장지</t>
    <phoneticPr fontId="2" type="noConversion"/>
  </si>
  <si>
    <t>물티슈</t>
    <phoneticPr fontId="2" type="noConversion"/>
  </si>
  <si>
    <t>현금영수증번호</t>
    <phoneticPr fontId="2" type="noConversion"/>
  </si>
  <si>
    <t>카드</t>
  </si>
  <si>
    <t>현금</t>
  </si>
  <si>
    <t>[표2]</t>
    <phoneticPr fontId="2" type="noConversion"/>
  </si>
  <si>
    <t>0103706****</t>
    <phoneticPr fontId="2" type="noConversion"/>
  </si>
  <si>
    <t>0109560****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</si>
</sst>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/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9" fontId="0" fillId="0" borderId="1" xfId="1" applyFont="1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9" fontId="0" fillId="0" borderId="1" xfId="1" applyFont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4" fillId="3" borderId="1" xfId="3" applyFont="1" applyFill="1" applyBorder="1" applyAlignment="1">
      <alignment horizontal="center"/>
    </xf>
    <xf numFmtId="0" fontId="4" fillId="0" borderId="1" xfId="3" applyFont="1" applyFill="1" applyBorder="1" applyAlignment="1">
      <alignment wrapText="1"/>
    </xf>
    <xf numFmtId="0" fontId="4" fillId="0" borderId="1" xfId="3" applyFont="1" applyFill="1" applyBorder="1" applyAlignment="1">
      <alignment horizontal="right" wrapText="1"/>
    </xf>
    <xf numFmtId="0" fontId="5" fillId="0" borderId="1" xfId="3" applyBorder="1"/>
    <xf numFmtId="9" fontId="4" fillId="0" borderId="1" xfId="3" applyNumberFormat="1" applyFont="1" applyFill="1" applyBorder="1" applyAlignment="1">
      <alignment horizontal="right" wrapText="1"/>
    </xf>
    <xf numFmtId="0" fontId="0" fillId="0" borderId="0" xfId="0" pivotButton="1">
      <alignment vertical="center"/>
    </xf>
    <xf numFmtId="9" fontId="0" fillId="0" borderId="0" xfId="0" applyNumberFormat="1">
      <alignment vertical="center"/>
    </xf>
    <xf numFmtId="0" fontId="4" fillId="0" borderId="0" xfId="3" applyFont="1" applyFill="1" applyBorder="1" applyAlignment="1">
      <alignment wrapText="1"/>
    </xf>
    <xf numFmtId="0" fontId="4" fillId="0" borderId="0" xfId="3" applyFont="1" applyFill="1" applyBorder="1" applyAlignment="1">
      <alignment horizontal="right" wrapText="1"/>
    </xf>
    <xf numFmtId="0" fontId="5" fillId="0" borderId="0" xfId="3" applyBorder="1"/>
    <xf numFmtId="9" fontId="4" fillId="0" borderId="0" xfId="3" applyNumberFormat="1" applyFont="1" applyFill="1" applyBorder="1" applyAlignment="1">
      <alignment horizontal="right" wrapText="1"/>
    </xf>
    <xf numFmtId="0" fontId="6" fillId="0" borderId="0" xfId="3" applyFont="1" applyFill="1" applyBorder="1" applyAlignment="1">
      <alignment wrapText="1"/>
    </xf>
    <xf numFmtId="41" fontId="0" fillId="0" borderId="1" xfId="2" applyFont="1" applyBorder="1">
      <alignment vertical="center"/>
    </xf>
    <xf numFmtId="10" fontId="0" fillId="0" borderId="1" xfId="1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9" fontId="6" fillId="0" borderId="1" xfId="3" applyNumberFormat="1" applyFont="1" applyFill="1" applyBorder="1" applyAlignment="1">
      <alignment wrapText="1"/>
    </xf>
  </cellXfs>
  <cellStyles count="4">
    <cellStyle name="백분율" xfId="1" builtinId="5"/>
    <cellStyle name="쉼표 [0]" xfId="2" builtinId="6"/>
    <cellStyle name="표준" xfId="0" builtinId="0"/>
    <cellStyle name="표준_분석작업-1" xfId="3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</c:f>
          <c:strCache>
            <c:ptCount val="1"/>
            <c:pt idx="0">
              <c:v>단과대학 졸업 현황</c:v>
            </c:pt>
          </c:strCache>
        </c:strRef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졸업자</c:v>
                </c:pt>
              </c:strCache>
            </c:strRef>
          </c:tx>
          <c:cat>
            <c:strRef>
              <c:f>'기타작업-1'!$A$4:$A$9</c:f>
              <c:strCache>
                <c:ptCount val="6"/>
                <c:pt idx="0">
                  <c:v>국어국문학과</c:v>
                </c:pt>
                <c:pt idx="1">
                  <c:v>문헌정보학과</c:v>
                </c:pt>
                <c:pt idx="2">
                  <c:v>역사학과</c:v>
                </c:pt>
                <c:pt idx="3">
                  <c:v>영어영문학과</c:v>
                </c:pt>
                <c:pt idx="4">
                  <c:v>중어중문학과</c:v>
                </c:pt>
                <c:pt idx="5">
                  <c:v>철학과</c:v>
                </c:pt>
              </c:strCache>
            </c:strRef>
          </c:cat>
          <c:val>
            <c:numRef>
              <c:f>'기타작업-1'!$B$4:$B$9</c:f>
              <c:numCache>
                <c:formatCode>General</c:formatCode>
                <c:ptCount val="6"/>
                <c:pt idx="0">
                  <c:v>55</c:v>
                </c:pt>
                <c:pt idx="1">
                  <c:v>47</c:v>
                </c:pt>
                <c:pt idx="2">
                  <c:v>48</c:v>
                </c:pt>
                <c:pt idx="3">
                  <c:v>47</c:v>
                </c:pt>
                <c:pt idx="4">
                  <c:v>42</c:v>
                </c:pt>
                <c:pt idx="5">
                  <c:v>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건강보험연계</c:v>
                </c:pt>
              </c:strCache>
            </c:strRef>
          </c:tx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'기타작업-1'!$A$4:$A$9</c:f>
              <c:strCache>
                <c:ptCount val="6"/>
                <c:pt idx="0">
                  <c:v>국어국문학과</c:v>
                </c:pt>
                <c:pt idx="1">
                  <c:v>문헌정보학과</c:v>
                </c:pt>
                <c:pt idx="2">
                  <c:v>역사학과</c:v>
                </c:pt>
                <c:pt idx="3">
                  <c:v>영어영문학과</c:v>
                </c:pt>
                <c:pt idx="4">
                  <c:v>중어중문학과</c:v>
                </c:pt>
                <c:pt idx="5">
                  <c:v>철학과</c:v>
                </c:pt>
              </c:strCache>
            </c:strRef>
          </c:cat>
          <c:val>
            <c:numRef>
              <c:f>'기타작업-1'!$C$4:$C$9</c:f>
              <c:numCache>
                <c:formatCode>General</c:formatCode>
                <c:ptCount val="6"/>
                <c:pt idx="0">
                  <c:v>21</c:v>
                </c:pt>
                <c:pt idx="1">
                  <c:v>26</c:v>
                </c:pt>
                <c:pt idx="2">
                  <c:v>18</c:v>
                </c:pt>
                <c:pt idx="3">
                  <c:v>18</c:v>
                </c:pt>
                <c:pt idx="4">
                  <c:v>30</c:v>
                </c:pt>
                <c:pt idx="5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49184"/>
        <c:axId val="58529280"/>
      </c:lineChart>
      <c:catAx>
        <c:axId val="45149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8529280"/>
        <c:crosses val="autoZero"/>
        <c:auto val="1"/>
        <c:lblAlgn val="ctr"/>
        <c:lblOffset val="100"/>
        <c:noMultiLvlLbl val="0"/>
      </c:catAx>
      <c:valAx>
        <c:axId val="58529280"/>
        <c:scaling>
          <c:orientation val="minMax"/>
          <c:max val="60"/>
          <c:min val="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149184"/>
        <c:crosses val="autoZero"/>
        <c:crossBetween val="between"/>
        <c:majorUnit val="10"/>
      </c:valAx>
    </c:plotArea>
    <c:legend>
      <c:legendPos val="r"/>
      <c:layout/>
      <c:overlay val="0"/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190500</xdr:rowOff>
    </xdr:from>
    <xdr:to>
      <xdr:col>11</xdr:col>
      <xdr:colOff>0</xdr:colOff>
      <xdr:row>3</xdr:row>
      <xdr:rowOff>0</xdr:rowOff>
    </xdr:to>
    <xdr:sp macro="[0]!취업률부분합" textlink="">
      <xdr:nvSpPr>
        <xdr:cNvPr id="3" name="빗면 2"/>
        <xdr:cNvSpPr/>
      </xdr:nvSpPr>
      <xdr:spPr>
        <a:xfrm>
          <a:off x="6238875" y="190500"/>
          <a:ext cx="1628775" cy="4381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성별 취업률 부분합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0</xdr:row>
          <xdr:rowOff>76200</xdr:rowOff>
        </xdr:from>
        <xdr:to>
          <xdr:col>6</xdr:col>
          <xdr:colOff>9525</xdr:colOff>
          <xdr:row>1</xdr:row>
          <xdr:rowOff>161925</xdr:rowOff>
        </xdr:to>
        <xdr:sp macro="" textlink="">
          <xdr:nvSpPr>
            <xdr:cNvPr id="7169" name="cmd판매내역입력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3480.427615624998" createdVersion="4" refreshedVersion="4" minRefreshableVersion="3" recordCount="30">
  <cacheSource type="worksheet">
    <worksheetSource ref="A2:K32" sheet="분석작업-1"/>
  </cacheSource>
  <cacheFields count="11">
    <cacheField name="단과대학" numFmtId="0">
      <sharedItems count="3">
        <s v="사범대학"/>
        <s v="인문대학"/>
        <s v="사회과학대학"/>
      </sharedItems>
    </cacheField>
    <cacheField name="학과" numFmtId="0">
      <sharedItems count="15">
        <s v="교육학과"/>
        <s v="국어교육과"/>
        <s v="국어국문학과"/>
        <s v="문헌정보학과"/>
        <s v="사회복지학과"/>
        <s v="사회학과"/>
        <s v="수학교육과"/>
        <s v="심리학과"/>
        <s v="역사학과"/>
        <s v="영어 교육과"/>
        <s v="영어영문학과"/>
        <s v="정치외교학과"/>
        <s v="중어중문학과"/>
        <s v="철학과"/>
        <s v="행정학과"/>
      </sharedItems>
    </cacheField>
    <cacheField name="성별" numFmtId="0">
      <sharedItems count="2">
        <s v="남"/>
        <s v="여"/>
      </sharedItems>
    </cacheField>
    <cacheField name="졸업자" numFmtId="0">
      <sharedItems containsSemiMixedTypes="0" containsString="0" containsNumber="1" containsInteger="1" minValue="25" maxValue="91"/>
    </cacheField>
    <cacheField name="건강보험연계" numFmtId="0">
      <sharedItems containsSemiMixedTypes="0" containsString="0" containsNumber="1" containsInteger="1" minValue="11" maxValue="45"/>
    </cacheField>
    <cacheField name="해외취업자" numFmtId="0">
      <sharedItems containsString="0" containsBlank="1" containsNumber="1" containsInteger="1" minValue="1" maxValue="5"/>
    </cacheField>
    <cacheField name="창업자" numFmtId="0">
      <sharedItems containsString="0" containsBlank="1" containsNumber="1" containsInteger="1" minValue="1" maxValue="4"/>
    </cacheField>
    <cacheField name="프리랜서" numFmtId="0">
      <sharedItems containsString="0" containsBlank="1" containsNumber="1" containsInteger="1" minValue="1" maxValue="12"/>
    </cacheField>
    <cacheField name="진학자" numFmtId="0">
      <sharedItems containsString="0" containsBlank="1" containsNumber="1" containsInteger="1" minValue="1" maxValue="4"/>
    </cacheField>
    <cacheField name="입대자" numFmtId="0">
      <sharedItems containsString="0" containsBlank="1" containsNumber="1" containsInteger="1" minValue="1" maxValue="5"/>
    </cacheField>
    <cacheField name="취업률" numFmtId="9">
      <sharedItems containsSemiMixedTypes="0" containsString="0" containsNumber="1" minValue="0.41818181818181815" maxValue="0.933333333333333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x v="0"/>
    <n v="40"/>
    <n v="19"/>
    <m/>
    <n v="1"/>
    <n v="1"/>
    <n v="2"/>
    <n v="5"/>
    <n v="0.57499999999999996"/>
  </r>
  <r>
    <x v="0"/>
    <x v="0"/>
    <x v="1"/>
    <n v="50"/>
    <n v="23"/>
    <n v="1"/>
    <n v="1"/>
    <n v="7"/>
    <n v="3"/>
    <m/>
    <n v="0.7"/>
  </r>
  <r>
    <x v="0"/>
    <x v="1"/>
    <x v="0"/>
    <n v="45"/>
    <n v="21"/>
    <m/>
    <m/>
    <n v="4"/>
    <n v="1"/>
    <n v="1"/>
    <n v="0.57777777777777772"/>
  </r>
  <r>
    <x v="0"/>
    <x v="1"/>
    <x v="1"/>
    <n v="50"/>
    <n v="24"/>
    <m/>
    <n v="2"/>
    <n v="5"/>
    <n v="1"/>
    <m/>
    <n v="0.64"/>
  </r>
  <r>
    <x v="1"/>
    <x v="2"/>
    <x v="0"/>
    <n v="60"/>
    <n v="28"/>
    <n v="1"/>
    <n v="3"/>
    <n v="1"/>
    <n v="1"/>
    <n v="3"/>
    <n v="0.56666666666666665"/>
  </r>
  <r>
    <x v="1"/>
    <x v="2"/>
    <x v="1"/>
    <n v="50"/>
    <n v="15"/>
    <n v="2"/>
    <n v="1"/>
    <n v="2"/>
    <n v="4"/>
    <m/>
    <n v="0.48"/>
  </r>
  <r>
    <x v="1"/>
    <x v="3"/>
    <x v="0"/>
    <n v="40"/>
    <n v="21"/>
    <m/>
    <n v="3"/>
    <n v="1"/>
    <n v="2"/>
    <n v="4"/>
    <n v="0.67500000000000004"/>
  </r>
  <r>
    <x v="1"/>
    <x v="3"/>
    <x v="1"/>
    <n v="55"/>
    <n v="32"/>
    <n v="2"/>
    <n v="1"/>
    <n v="3"/>
    <m/>
    <m/>
    <n v="0.69090909090909092"/>
  </r>
  <r>
    <x v="2"/>
    <x v="4"/>
    <x v="0"/>
    <n v="70"/>
    <n v="32"/>
    <m/>
    <n v="1"/>
    <m/>
    <n v="1"/>
    <n v="2"/>
    <n v="0.48571428571428571"/>
  </r>
  <r>
    <x v="2"/>
    <x v="4"/>
    <x v="1"/>
    <n v="70"/>
    <n v="36"/>
    <m/>
    <n v="3"/>
    <m/>
    <n v="1"/>
    <m/>
    <n v="0.5714285714285714"/>
  </r>
  <r>
    <x v="2"/>
    <x v="5"/>
    <x v="0"/>
    <n v="50"/>
    <n v="26"/>
    <n v="2"/>
    <n v="4"/>
    <m/>
    <n v="4"/>
    <n v="1"/>
    <n v="0.72"/>
  </r>
  <r>
    <x v="2"/>
    <x v="5"/>
    <x v="1"/>
    <n v="51"/>
    <n v="21"/>
    <n v="2"/>
    <n v="1"/>
    <m/>
    <n v="2"/>
    <m/>
    <n v="0.50980392156862742"/>
  </r>
  <r>
    <x v="0"/>
    <x v="6"/>
    <x v="0"/>
    <n v="40"/>
    <n v="15"/>
    <m/>
    <n v="1"/>
    <n v="2"/>
    <n v="1"/>
    <n v="3"/>
    <n v="0.47499999999999998"/>
  </r>
  <r>
    <x v="0"/>
    <x v="6"/>
    <x v="1"/>
    <n v="35"/>
    <n v="13"/>
    <m/>
    <n v="2"/>
    <n v="5"/>
    <n v="1"/>
    <m/>
    <n v="0.6"/>
  </r>
  <r>
    <x v="2"/>
    <x v="7"/>
    <x v="0"/>
    <n v="45"/>
    <n v="15"/>
    <m/>
    <n v="2"/>
    <m/>
    <n v="2"/>
    <n v="3"/>
    <n v="0.42222222222222222"/>
  </r>
  <r>
    <x v="2"/>
    <x v="7"/>
    <x v="1"/>
    <n v="50"/>
    <n v="23"/>
    <n v="1"/>
    <n v="3"/>
    <n v="4"/>
    <n v="2"/>
    <m/>
    <n v="0.66"/>
  </r>
  <r>
    <x v="1"/>
    <x v="8"/>
    <x v="0"/>
    <n v="55"/>
    <n v="19"/>
    <n v="1"/>
    <n v="2"/>
    <n v="1"/>
    <m/>
    <n v="2"/>
    <n v="0.41818181818181815"/>
  </r>
  <r>
    <x v="1"/>
    <x v="8"/>
    <x v="1"/>
    <n v="42"/>
    <n v="18"/>
    <n v="2"/>
    <m/>
    <n v="2"/>
    <n v="1"/>
    <m/>
    <n v="0.54761904761904767"/>
  </r>
  <r>
    <x v="0"/>
    <x v="9"/>
    <x v="0"/>
    <n v="60"/>
    <n v="39"/>
    <n v="2"/>
    <n v="1"/>
    <n v="5"/>
    <n v="1"/>
    <n v="3"/>
    <n v="0.8"/>
  </r>
  <r>
    <x v="0"/>
    <x v="9"/>
    <x v="1"/>
    <n v="60"/>
    <n v="29"/>
    <n v="3"/>
    <n v="1"/>
    <n v="12"/>
    <n v="2"/>
    <m/>
    <n v="0.78333333333333333"/>
  </r>
  <r>
    <x v="1"/>
    <x v="10"/>
    <x v="0"/>
    <n v="45"/>
    <n v="23"/>
    <n v="4"/>
    <m/>
    <n v="1"/>
    <n v="1"/>
    <n v="2"/>
    <n v="0.64444444444444449"/>
  </r>
  <r>
    <x v="1"/>
    <x v="10"/>
    <x v="1"/>
    <n v="50"/>
    <n v="13"/>
    <n v="3"/>
    <n v="3"/>
    <n v="2"/>
    <n v="2"/>
    <m/>
    <n v="0.46"/>
  </r>
  <r>
    <x v="2"/>
    <x v="11"/>
    <x v="0"/>
    <n v="91"/>
    <n v="45"/>
    <n v="3"/>
    <n v="1"/>
    <m/>
    <m/>
    <n v="2"/>
    <n v="0.53846153846153844"/>
  </r>
  <r>
    <x v="2"/>
    <x v="11"/>
    <x v="1"/>
    <n v="52"/>
    <n v="30"/>
    <n v="5"/>
    <n v="1"/>
    <m/>
    <n v="3"/>
    <m/>
    <n v="0.75"/>
  </r>
  <r>
    <x v="1"/>
    <x v="12"/>
    <x v="0"/>
    <n v="45"/>
    <n v="35"/>
    <n v="3"/>
    <m/>
    <n v="4"/>
    <m/>
    <n v="1"/>
    <n v="0.93333333333333335"/>
  </r>
  <r>
    <x v="1"/>
    <x v="12"/>
    <x v="1"/>
    <n v="40"/>
    <n v="25"/>
    <n v="4"/>
    <n v="1"/>
    <n v="3"/>
    <n v="1"/>
    <m/>
    <n v="0.85"/>
  </r>
  <r>
    <x v="1"/>
    <x v="13"/>
    <x v="0"/>
    <n v="35"/>
    <n v="15"/>
    <m/>
    <n v="1"/>
    <n v="1"/>
    <n v="3"/>
    <n v="3"/>
    <n v="0.5714285714285714"/>
  </r>
  <r>
    <x v="1"/>
    <x v="13"/>
    <x v="1"/>
    <n v="25"/>
    <n v="11"/>
    <m/>
    <m/>
    <m/>
    <n v="4"/>
    <m/>
    <n v="0.6"/>
  </r>
  <r>
    <x v="2"/>
    <x v="14"/>
    <x v="0"/>
    <n v="50"/>
    <n v="26"/>
    <n v="2"/>
    <n v="1"/>
    <m/>
    <n v="2"/>
    <n v="3"/>
    <n v="0.62"/>
  </r>
  <r>
    <x v="2"/>
    <x v="14"/>
    <x v="1"/>
    <n v="49"/>
    <n v="32"/>
    <m/>
    <n v="3"/>
    <m/>
    <n v="1"/>
    <m/>
    <n v="0.7346938775510204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7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M2:P19" firstHeaderRow="1" firstDataRow="2" firstDataCol="1"/>
  <pivotFields count="11">
    <pivotField compact="0" showAll="0">
      <items count="4">
        <item x="0"/>
        <item x="2"/>
        <item x="1"/>
        <item t="default"/>
      </items>
    </pivotField>
    <pivotField axis="axisRow" compact="0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Col" compact="0" showAll="0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9"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평균 : 취업률" fld="10" subtotal="average" baseField="1" baseItem="4" numFmtId="9"/>
  </dataFields>
  <pivotTableStyleInfo name="PivotStyleLight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단과대학" tableColumnId="1"/>
      <queryTableField id="2" name="학과" tableColumnId="2"/>
      <queryTableField id="3" name="성별" tableColumnId="3"/>
      <queryTableField id="4" name="졸업자" tableColumnId="4"/>
      <queryTableField id="5" name="취업률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표_MS_Access_Database_Query" displayName="표_MS_Access_Database_Query" ref="A2:E11" tableType="queryTable" totalsRowShown="0">
  <autoFilter ref="A2:E11"/>
  <tableColumns count="5">
    <tableColumn id="1" uniqueName="1" name="단과대학" queryTableFieldId="1"/>
    <tableColumn id="2" uniqueName="2" name="학과" queryTableFieldId="2"/>
    <tableColumn id="3" uniqueName="3" name="성별" queryTableFieldId="3"/>
    <tableColumn id="4" uniqueName="4" name="졸업자" queryTableFieldId="4"/>
    <tableColumn id="5" uniqueName="5" name="취업률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11"/>
  <sheetViews>
    <sheetView tabSelected="1" workbookViewId="0"/>
  </sheetViews>
  <sheetFormatPr defaultRowHeight="16.5" x14ac:dyDescent="0.3"/>
  <cols>
    <col min="1" max="2" width="13" bestFit="1" customWidth="1"/>
    <col min="3" max="3" width="7.5" bestFit="1" customWidth="1"/>
    <col min="4" max="4" width="9.375" bestFit="1" customWidth="1"/>
    <col min="5" max="5" width="12.75" bestFit="1" customWidth="1"/>
  </cols>
  <sheetData>
    <row r="2" spans="1:5" x14ac:dyDescent="0.3">
      <c r="A2" t="s">
        <v>45</v>
      </c>
      <c r="B2" t="s">
        <v>46</v>
      </c>
      <c r="C2" t="s">
        <v>42</v>
      </c>
      <c r="D2" t="s">
        <v>47</v>
      </c>
      <c r="E2" t="s">
        <v>44</v>
      </c>
    </row>
    <row r="3" spans="1:5" x14ac:dyDescent="0.3">
      <c r="A3" t="s">
        <v>62</v>
      </c>
      <c r="B3" t="s">
        <v>64</v>
      </c>
      <c r="C3" t="s">
        <v>43</v>
      </c>
      <c r="D3">
        <v>52</v>
      </c>
      <c r="E3">
        <v>0.75</v>
      </c>
    </row>
    <row r="4" spans="1:5" x14ac:dyDescent="0.3">
      <c r="A4" t="s">
        <v>62</v>
      </c>
      <c r="B4" t="s">
        <v>63</v>
      </c>
      <c r="C4" t="s">
        <v>43</v>
      </c>
      <c r="D4">
        <v>49</v>
      </c>
      <c r="E4">
        <v>0.73469387755102045</v>
      </c>
    </row>
    <row r="5" spans="1:5" x14ac:dyDescent="0.3">
      <c r="A5" t="s">
        <v>62</v>
      </c>
      <c r="B5" t="s">
        <v>66</v>
      </c>
      <c r="C5" t="s">
        <v>43</v>
      </c>
      <c r="D5">
        <v>50</v>
      </c>
      <c r="E5">
        <v>0.66</v>
      </c>
    </row>
    <row r="6" spans="1:5" x14ac:dyDescent="0.3">
      <c r="A6" t="s">
        <v>62</v>
      </c>
      <c r="B6" t="s">
        <v>67</v>
      </c>
      <c r="C6" t="s">
        <v>43</v>
      </c>
      <c r="D6">
        <v>70</v>
      </c>
      <c r="E6">
        <v>0.5714285714285714</v>
      </c>
    </row>
    <row r="7" spans="1:5" x14ac:dyDescent="0.3">
      <c r="A7" t="s">
        <v>62</v>
      </c>
      <c r="B7" t="s">
        <v>65</v>
      </c>
      <c r="C7" t="s">
        <v>43</v>
      </c>
      <c r="D7">
        <v>51</v>
      </c>
      <c r="E7">
        <v>0.50980392156862742</v>
      </c>
    </row>
    <row r="8" spans="1:5" x14ac:dyDescent="0.3">
      <c r="A8" t="s">
        <v>54</v>
      </c>
      <c r="B8" t="s">
        <v>61</v>
      </c>
      <c r="C8" t="s">
        <v>43</v>
      </c>
      <c r="D8">
        <v>40</v>
      </c>
      <c r="E8">
        <v>0.85</v>
      </c>
    </row>
    <row r="9" spans="1:5" x14ac:dyDescent="0.3">
      <c r="A9" t="s">
        <v>54</v>
      </c>
      <c r="B9" t="s">
        <v>59</v>
      </c>
      <c r="C9" t="s">
        <v>43</v>
      </c>
      <c r="D9">
        <v>55</v>
      </c>
      <c r="E9">
        <v>0.69090909090909092</v>
      </c>
    </row>
    <row r="10" spans="1:5" x14ac:dyDescent="0.3">
      <c r="A10" t="s">
        <v>54</v>
      </c>
      <c r="B10" t="s">
        <v>58</v>
      </c>
      <c r="C10" t="s">
        <v>43</v>
      </c>
      <c r="D10">
        <v>25</v>
      </c>
      <c r="E10">
        <v>0.6</v>
      </c>
    </row>
    <row r="11" spans="1:5" x14ac:dyDescent="0.3">
      <c r="A11" t="s">
        <v>54</v>
      </c>
      <c r="B11" t="s">
        <v>60</v>
      </c>
      <c r="C11" t="s">
        <v>43</v>
      </c>
      <c r="D11">
        <v>42</v>
      </c>
      <c r="E11">
        <v>0.54761904761904767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49"/>
  <sheetViews>
    <sheetView zoomScaleNormal="100" workbookViewId="0"/>
  </sheetViews>
  <sheetFormatPr defaultRowHeight="16.5" x14ac:dyDescent="0.3"/>
  <cols>
    <col min="1" max="1" width="12.75" customWidth="1"/>
    <col min="2" max="2" width="15.25" customWidth="1"/>
    <col min="3" max="3" width="6.625" customWidth="1"/>
    <col min="4" max="4" width="8.5" customWidth="1"/>
    <col min="5" max="5" width="13" bestFit="1" customWidth="1"/>
    <col min="6" max="6" width="11.875" customWidth="1"/>
    <col min="7" max="7" width="7.125" bestFit="1" customWidth="1"/>
    <col min="8" max="8" width="9" bestFit="1" customWidth="1"/>
    <col min="9" max="10" width="7.125" bestFit="1" customWidth="1"/>
    <col min="11" max="11" width="9.25" customWidth="1"/>
  </cols>
  <sheetData>
    <row r="2" spans="1:11" ht="20.25" x14ac:dyDescent="0.3">
      <c r="A2" s="25" t="s">
        <v>73</v>
      </c>
      <c r="B2" s="25"/>
      <c r="C2" s="25"/>
      <c r="D2" s="25"/>
      <c r="E2" s="25"/>
      <c r="F2" s="25"/>
      <c r="G2" s="25"/>
      <c r="H2" s="25"/>
      <c r="I2" s="25"/>
      <c r="J2" s="25"/>
      <c r="K2" s="25"/>
    </row>
    <row r="4" spans="1:11" x14ac:dyDescent="0.3">
      <c r="A4" s="3" t="s">
        <v>45</v>
      </c>
      <c r="B4" s="3" t="s">
        <v>46</v>
      </c>
      <c r="C4" s="3" t="s">
        <v>42</v>
      </c>
      <c r="D4" s="3" t="s">
        <v>47</v>
      </c>
      <c r="E4" s="3" t="s">
        <v>48</v>
      </c>
      <c r="F4" s="3" t="s">
        <v>49</v>
      </c>
      <c r="G4" s="3" t="s">
        <v>50</v>
      </c>
      <c r="H4" s="3" t="s">
        <v>51</v>
      </c>
      <c r="I4" s="3" t="s">
        <v>52</v>
      </c>
      <c r="J4" s="3" t="s">
        <v>53</v>
      </c>
      <c r="K4" s="3" t="s">
        <v>44</v>
      </c>
    </row>
    <row r="5" spans="1:11" x14ac:dyDescent="0.3">
      <c r="A5" s="3" t="s">
        <v>68</v>
      </c>
      <c r="B5" s="3" t="s">
        <v>69</v>
      </c>
      <c r="C5" s="3" t="s">
        <v>56</v>
      </c>
      <c r="D5" s="2">
        <v>40</v>
      </c>
      <c r="E5" s="2">
        <v>19</v>
      </c>
      <c r="F5" s="2"/>
      <c r="G5" s="2">
        <v>1</v>
      </c>
      <c r="H5" s="2">
        <v>1</v>
      </c>
      <c r="I5" s="2">
        <v>2</v>
      </c>
      <c r="J5" s="2">
        <v>5</v>
      </c>
      <c r="K5" s="9">
        <v>0.57499999999999996</v>
      </c>
    </row>
    <row r="6" spans="1:11" x14ac:dyDescent="0.3">
      <c r="A6" s="3" t="s">
        <v>68</v>
      </c>
      <c r="B6" s="3" t="s">
        <v>69</v>
      </c>
      <c r="C6" s="3" t="s">
        <v>43</v>
      </c>
      <c r="D6" s="2">
        <v>50</v>
      </c>
      <c r="E6" s="2">
        <v>23</v>
      </c>
      <c r="F6" s="2">
        <v>1</v>
      </c>
      <c r="G6" s="2">
        <v>1</v>
      </c>
      <c r="H6" s="2">
        <v>7</v>
      </c>
      <c r="I6" s="2">
        <v>3</v>
      </c>
      <c r="J6" s="2"/>
      <c r="K6" s="9">
        <v>0.7</v>
      </c>
    </row>
    <row r="7" spans="1:11" x14ac:dyDescent="0.3">
      <c r="A7" s="3" t="s">
        <v>68</v>
      </c>
      <c r="B7" s="3" t="s">
        <v>70</v>
      </c>
      <c r="C7" s="3" t="s">
        <v>56</v>
      </c>
      <c r="D7" s="2">
        <v>45</v>
      </c>
      <c r="E7" s="2">
        <v>21</v>
      </c>
      <c r="F7" s="2"/>
      <c r="G7" s="2"/>
      <c r="H7" s="2">
        <v>4</v>
      </c>
      <c r="I7" s="2">
        <v>1</v>
      </c>
      <c r="J7" s="2">
        <v>1</v>
      </c>
      <c r="K7" s="9">
        <v>0.57777777777777772</v>
      </c>
    </row>
    <row r="8" spans="1:11" x14ac:dyDescent="0.3">
      <c r="A8" s="3" t="s">
        <v>68</v>
      </c>
      <c r="B8" s="3" t="s">
        <v>70</v>
      </c>
      <c r="C8" s="3" t="s">
        <v>43</v>
      </c>
      <c r="D8" s="2">
        <v>50</v>
      </c>
      <c r="E8" s="2">
        <v>24</v>
      </c>
      <c r="F8" s="2"/>
      <c r="G8" s="2">
        <v>2</v>
      </c>
      <c r="H8" s="2">
        <v>5</v>
      </c>
      <c r="I8" s="2">
        <v>1</v>
      </c>
      <c r="J8" s="2"/>
      <c r="K8" s="9">
        <v>0.64</v>
      </c>
    </row>
    <row r="9" spans="1:11" x14ac:dyDescent="0.3">
      <c r="A9" s="3" t="s">
        <v>54</v>
      </c>
      <c r="B9" s="3" t="s">
        <v>55</v>
      </c>
      <c r="C9" s="3" t="s">
        <v>56</v>
      </c>
      <c r="D9" s="2">
        <v>60</v>
      </c>
      <c r="E9" s="2">
        <v>28</v>
      </c>
      <c r="F9" s="2">
        <v>1</v>
      </c>
      <c r="G9" s="2">
        <v>3</v>
      </c>
      <c r="H9" s="2">
        <v>1</v>
      </c>
      <c r="I9" s="2">
        <v>1</v>
      </c>
      <c r="J9" s="2">
        <v>3</v>
      </c>
      <c r="K9" s="9">
        <v>0.56666666666666665</v>
      </c>
    </row>
    <row r="10" spans="1:11" x14ac:dyDescent="0.3">
      <c r="A10" s="3" t="s">
        <v>54</v>
      </c>
      <c r="B10" s="3" t="s">
        <v>55</v>
      </c>
      <c r="C10" s="3" t="s">
        <v>43</v>
      </c>
      <c r="D10" s="2">
        <v>50</v>
      </c>
      <c r="E10" s="2">
        <v>15</v>
      </c>
      <c r="F10" s="2">
        <v>2</v>
      </c>
      <c r="G10" s="2">
        <v>1</v>
      </c>
      <c r="H10" s="2">
        <v>2</v>
      </c>
      <c r="I10" s="2">
        <v>4</v>
      </c>
      <c r="J10" s="2"/>
      <c r="K10" s="9">
        <v>0.48</v>
      </c>
    </row>
    <row r="11" spans="1:11" x14ac:dyDescent="0.3">
      <c r="A11" s="3" t="s">
        <v>54</v>
      </c>
      <c r="B11" s="3" t="s">
        <v>59</v>
      </c>
      <c r="C11" s="3" t="s">
        <v>56</v>
      </c>
      <c r="D11" s="2">
        <v>40</v>
      </c>
      <c r="E11" s="2">
        <v>21</v>
      </c>
      <c r="F11" s="2"/>
      <c r="G11" s="2">
        <v>3</v>
      </c>
      <c r="H11" s="2">
        <v>1</v>
      </c>
      <c r="I11" s="2">
        <v>2</v>
      </c>
      <c r="J11" s="2">
        <v>4</v>
      </c>
      <c r="K11" s="9">
        <v>0.67500000000000004</v>
      </c>
    </row>
    <row r="12" spans="1:11" x14ac:dyDescent="0.3">
      <c r="A12" s="3" t="s">
        <v>54</v>
      </c>
      <c r="B12" s="3" t="s">
        <v>59</v>
      </c>
      <c r="C12" s="3" t="s">
        <v>43</v>
      </c>
      <c r="D12" s="2">
        <v>55</v>
      </c>
      <c r="E12" s="2">
        <v>32</v>
      </c>
      <c r="F12" s="2">
        <v>2</v>
      </c>
      <c r="G12" s="2">
        <v>1</v>
      </c>
      <c r="H12" s="2">
        <v>3</v>
      </c>
      <c r="I12" s="2"/>
      <c r="J12" s="2"/>
      <c r="K12" s="9">
        <v>0.69090909090909092</v>
      </c>
    </row>
    <row r="13" spans="1:11" x14ac:dyDescent="0.3">
      <c r="A13" s="3" t="s">
        <v>62</v>
      </c>
      <c r="B13" s="3" t="s">
        <v>67</v>
      </c>
      <c r="C13" s="3" t="s">
        <v>56</v>
      </c>
      <c r="D13" s="2">
        <v>70</v>
      </c>
      <c r="E13" s="2">
        <v>32</v>
      </c>
      <c r="F13" s="2"/>
      <c r="G13" s="2">
        <v>1</v>
      </c>
      <c r="H13" s="2"/>
      <c r="I13" s="2">
        <v>1</v>
      </c>
      <c r="J13" s="2">
        <v>2</v>
      </c>
      <c r="K13" s="9">
        <v>0.48571428571428571</v>
      </c>
    </row>
    <row r="14" spans="1:11" x14ac:dyDescent="0.3">
      <c r="A14" s="3" t="s">
        <v>62</v>
      </c>
      <c r="B14" s="3" t="s">
        <v>67</v>
      </c>
      <c r="C14" s="3" t="s">
        <v>43</v>
      </c>
      <c r="D14" s="2">
        <v>70</v>
      </c>
      <c r="E14" s="2">
        <v>36</v>
      </c>
      <c r="F14" s="2"/>
      <c r="G14" s="2">
        <v>3</v>
      </c>
      <c r="H14" s="2"/>
      <c r="I14" s="2">
        <v>1</v>
      </c>
      <c r="J14" s="2"/>
      <c r="K14" s="9">
        <v>0.5714285714285714</v>
      </c>
    </row>
    <row r="15" spans="1:11" x14ac:dyDescent="0.3">
      <c r="A15" s="3" t="s">
        <v>62</v>
      </c>
      <c r="B15" s="3" t="s">
        <v>65</v>
      </c>
      <c r="C15" s="3" t="s">
        <v>56</v>
      </c>
      <c r="D15" s="2">
        <v>50</v>
      </c>
      <c r="E15" s="2">
        <v>26</v>
      </c>
      <c r="F15" s="2">
        <v>2</v>
      </c>
      <c r="G15" s="2">
        <v>4</v>
      </c>
      <c r="H15" s="2"/>
      <c r="I15" s="2">
        <v>4</v>
      </c>
      <c r="J15" s="2">
        <v>1</v>
      </c>
      <c r="K15" s="9">
        <v>0.72</v>
      </c>
    </row>
    <row r="16" spans="1:11" x14ac:dyDescent="0.3">
      <c r="A16" s="3" t="s">
        <v>62</v>
      </c>
      <c r="B16" s="3" t="s">
        <v>65</v>
      </c>
      <c r="C16" s="3" t="s">
        <v>43</v>
      </c>
      <c r="D16" s="2">
        <v>51</v>
      </c>
      <c r="E16" s="2">
        <v>21</v>
      </c>
      <c r="F16" s="2">
        <v>2</v>
      </c>
      <c r="G16" s="2">
        <v>1</v>
      </c>
      <c r="H16" s="2"/>
      <c r="I16" s="2">
        <v>2</v>
      </c>
      <c r="J16" s="2"/>
      <c r="K16" s="9">
        <v>0.50980392156862742</v>
      </c>
    </row>
    <row r="17" spans="1:11" x14ac:dyDescent="0.3">
      <c r="A17" s="3" t="s">
        <v>68</v>
      </c>
      <c r="B17" s="3" t="s">
        <v>72</v>
      </c>
      <c r="C17" s="3" t="s">
        <v>56</v>
      </c>
      <c r="D17" s="2">
        <v>40</v>
      </c>
      <c r="E17" s="2">
        <v>15</v>
      </c>
      <c r="F17" s="2"/>
      <c r="G17" s="2">
        <v>1</v>
      </c>
      <c r="H17" s="2">
        <v>2</v>
      </c>
      <c r="I17" s="2">
        <v>1</v>
      </c>
      <c r="J17" s="2">
        <v>3</v>
      </c>
      <c r="K17" s="9">
        <v>0.47499999999999998</v>
      </c>
    </row>
    <row r="18" spans="1:11" x14ac:dyDescent="0.3">
      <c r="A18" s="3" t="s">
        <v>68</v>
      </c>
      <c r="B18" s="3" t="s">
        <v>72</v>
      </c>
      <c r="C18" s="3" t="s">
        <v>43</v>
      </c>
      <c r="D18" s="2">
        <v>35</v>
      </c>
      <c r="E18" s="2">
        <v>13</v>
      </c>
      <c r="F18" s="2"/>
      <c r="G18" s="2">
        <v>2</v>
      </c>
      <c r="H18" s="2">
        <v>5</v>
      </c>
      <c r="I18" s="2">
        <v>1</v>
      </c>
      <c r="J18" s="2"/>
      <c r="K18" s="9">
        <v>0.6</v>
      </c>
    </row>
    <row r="19" spans="1:11" x14ac:dyDescent="0.3">
      <c r="A19" s="3" t="s">
        <v>62</v>
      </c>
      <c r="B19" s="3" t="s">
        <v>66</v>
      </c>
      <c r="C19" s="3" t="s">
        <v>56</v>
      </c>
      <c r="D19" s="2">
        <v>45</v>
      </c>
      <c r="E19" s="2">
        <v>15</v>
      </c>
      <c r="F19" s="2"/>
      <c r="G19" s="2">
        <v>2</v>
      </c>
      <c r="H19" s="2"/>
      <c r="I19" s="2">
        <v>2</v>
      </c>
      <c r="J19" s="2">
        <v>3</v>
      </c>
      <c r="K19" s="9">
        <v>0.42222222222222222</v>
      </c>
    </row>
    <row r="20" spans="1:11" x14ac:dyDescent="0.3">
      <c r="A20" s="3" t="s">
        <v>62</v>
      </c>
      <c r="B20" s="3" t="s">
        <v>66</v>
      </c>
      <c r="C20" s="3" t="s">
        <v>43</v>
      </c>
      <c r="D20" s="2">
        <v>50</v>
      </c>
      <c r="E20" s="2">
        <v>23</v>
      </c>
      <c r="F20" s="2">
        <v>1</v>
      </c>
      <c r="G20" s="2">
        <v>3</v>
      </c>
      <c r="H20" s="2">
        <v>4</v>
      </c>
      <c r="I20" s="2">
        <v>2</v>
      </c>
      <c r="J20" s="2"/>
      <c r="K20" s="9">
        <v>0.66</v>
      </c>
    </row>
    <row r="21" spans="1:11" x14ac:dyDescent="0.3">
      <c r="A21" s="3" t="s">
        <v>54</v>
      </c>
      <c r="B21" s="3" t="s">
        <v>60</v>
      </c>
      <c r="C21" s="3" t="s">
        <v>56</v>
      </c>
      <c r="D21" s="2">
        <v>55</v>
      </c>
      <c r="E21" s="2">
        <v>19</v>
      </c>
      <c r="F21" s="2">
        <v>1</v>
      </c>
      <c r="G21" s="2">
        <v>2</v>
      </c>
      <c r="H21" s="2">
        <v>1</v>
      </c>
      <c r="I21" s="2"/>
      <c r="J21" s="2">
        <v>2</v>
      </c>
      <c r="K21" s="9">
        <v>0.41818181818181815</v>
      </c>
    </row>
    <row r="22" spans="1:11" x14ac:dyDescent="0.3">
      <c r="A22" s="3" t="s">
        <v>54</v>
      </c>
      <c r="B22" s="3" t="s">
        <v>60</v>
      </c>
      <c r="C22" s="3" t="s">
        <v>43</v>
      </c>
      <c r="D22" s="2">
        <v>42</v>
      </c>
      <c r="E22" s="2">
        <v>18</v>
      </c>
      <c r="F22" s="2">
        <v>2</v>
      </c>
      <c r="G22" s="2"/>
      <c r="H22" s="2">
        <v>2</v>
      </c>
      <c r="I22" s="2">
        <v>1</v>
      </c>
      <c r="J22" s="2"/>
      <c r="K22" s="9">
        <v>0.54761904761904767</v>
      </c>
    </row>
    <row r="23" spans="1:11" x14ac:dyDescent="0.3">
      <c r="A23" s="3" t="s">
        <v>68</v>
      </c>
      <c r="B23" s="3" t="s">
        <v>71</v>
      </c>
      <c r="C23" s="3" t="s">
        <v>56</v>
      </c>
      <c r="D23" s="2">
        <v>60</v>
      </c>
      <c r="E23" s="2">
        <v>39</v>
      </c>
      <c r="F23" s="2">
        <v>2</v>
      </c>
      <c r="G23" s="2">
        <v>1</v>
      </c>
      <c r="H23" s="2">
        <v>5</v>
      </c>
      <c r="I23" s="2">
        <v>1</v>
      </c>
      <c r="J23" s="2">
        <v>3</v>
      </c>
      <c r="K23" s="9">
        <v>0.8</v>
      </c>
    </row>
    <row r="24" spans="1:11" x14ac:dyDescent="0.3">
      <c r="A24" s="3" t="s">
        <v>68</v>
      </c>
      <c r="B24" s="3" t="s">
        <v>71</v>
      </c>
      <c r="C24" s="3" t="s">
        <v>43</v>
      </c>
      <c r="D24" s="2">
        <v>60</v>
      </c>
      <c r="E24" s="2">
        <v>29</v>
      </c>
      <c r="F24" s="2">
        <v>3</v>
      </c>
      <c r="G24" s="2">
        <v>1</v>
      </c>
      <c r="H24" s="2">
        <v>12</v>
      </c>
      <c r="I24" s="2">
        <v>2</v>
      </c>
      <c r="J24" s="2"/>
      <c r="K24" s="9">
        <v>0.78333333333333333</v>
      </c>
    </row>
    <row r="25" spans="1:11" x14ac:dyDescent="0.3">
      <c r="A25" s="3" t="s">
        <v>54</v>
      </c>
      <c r="B25" s="3" t="s">
        <v>57</v>
      </c>
      <c r="C25" s="3" t="s">
        <v>56</v>
      </c>
      <c r="D25" s="2">
        <v>45</v>
      </c>
      <c r="E25" s="2">
        <v>23</v>
      </c>
      <c r="F25" s="2">
        <v>4</v>
      </c>
      <c r="G25" s="2"/>
      <c r="H25" s="2">
        <v>1</v>
      </c>
      <c r="I25" s="2">
        <v>1</v>
      </c>
      <c r="J25" s="2">
        <v>2</v>
      </c>
      <c r="K25" s="9">
        <v>0.64444444444444449</v>
      </c>
    </row>
    <row r="26" spans="1:11" x14ac:dyDescent="0.3">
      <c r="A26" s="3" t="s">
        <v>54</v>
      </c>
      <c r="B26" s="3" t="s">
        <v>57</v>
      </c>
      <c r="C26" s="3" t="s">
        <v>43</v>
      </c>
      <c r="D26" s="2">
        <v>50</v>
      </c>
      <c r="E26" s="2">
        <v>13</v>
      </c>
      <c r="F26" s="2">
        <v>3</v>
      </c>
      <c r="G26" s="2">
        <v>3</v>
      </c>
      <c r="H26" s="2">
        <v>2</v>
      </c>
      <c r="I26" s="2">
        <v>2</v>
      </c>
      <c r="J26" s="2"/>
      <c r="K26" s="9">
        <v>0.46</v>
      </c>
    </row>
    <row r="27" spans="1:11" x14ac:dyDescent="0.3">
      <c r="A27" s="3" t="s">
        <v>62</v>
      </c>
      <c r="B27" s="3" t="s">
        <v>64</v>
      </c>
      <c r="C27" s="3" t="s">
        <v>56</v>
      </c>
      <c r="D27" s="2">
        <v>91</v>
      </c>
      <c r="E27" s="2">
        <v>45</v>
      </c>
      <c r="F27" s="2">
        <v>3</v>
      </c>
      <c r="G27" s="2">
        <v>1</v>
      </c>
      <c r="H27" s="2"/>
      <c r="I27" s="2"/>
      <c r="J27" s="2">
        <v>2</v>
      </c>
      <c r="K27" s="9">
        <v>0.53846153846153844</v>
      </c>
    </row>
    <row r="28" spans="1:11" x14ac:dyDescent="0.3">
      <c r="A28" s="3" t="s">
        <v>62</v>
      </c>
      <c r="B28" s="3" t="s">
        <v>64</v>
      </c>
      <c r="C28" s="3" t="s">
        <v>43</v>
      </c>
      <c r="D28" s="2">
        <v>52</v>
      </c>
      <c r="E28" s="2">
        <v>30</v>
      </c>
      <c r="F28" s="2">
        <v>5</v>
      </c>
      <c r="G28" s="2">
        <v>1</v>
      </c>
      <c r="H28" s="2"/>
      <c r="I28" s="2">
        <v>3</v>
      </c>
      <c r="J28" s="2"/>
      <c r="K28" s="9">
        <v>0.75</v>
      </c>
    </row>
    <row r="29" spans="1:11" x14ac:dyDescent="0.3">
      <c r="A29" s="3" t="s">
        <v>54</v>
      </c>
      <c r="B29" s="3" t="s">
        <v>61</v>
      </c>
      <c r="C29" s="3" t="s">
        <v>56</v>
      </c>
      <c r="D29" s="2">
        <v>45</v>
      </c>
      <c r="E29" s="2">
        <v>35</v>
      </c>
      <c r="F29" s="2">
        <v>3</v>
      </c>
      <c r="G29" s="2"/>
      <c r="H29" s="2">
        <v>4</v>
      </c>
      <c r="I29" s="2"/>
      <c r="J29" s="2">
        <v>1</v>
      </c>
      <c r="K29" s="9">
        <v>0.93333333333333335</v>
      </c>
    </row>
    <row r="30" spans="1:11" x14ac:dyDescent="0.3">
      <c r="A30" s="3" t="s">
        <v>54</v>
      </c>
      <c r="B30" s="3" t="s">
        <v>61</v>
      </c>
      <c r="C30" s="3" t="s">
        <v>43</v>
      </c>
      <c r="D30" s="2">
        <v>40</v>
      </c>
      <c r="E30" s="2">
        <v>25</v>
      </c>
      <c r="F30" s="2">
        <v>4</v>
      </c>
      <c r="G30" s="2">
        <v>1</v>
      </c>
      <c r="H30" s="2">
        <v>3</v>
      </c>
      <c r="I30" s="2">
        <v>1</v>
      </c>
      <c r="J30" s="2"/>
      <c r="K30" s="9">
        <v>0.85</v>
      </c>
    </row>
    <row r="31" spans="1:11" x14ac:dyDescent="0.3">
      <c r="A31" s="3" t="s">
        <v>54</v>
      </c>
      <c r="B31" s="3" t="s">
        <v>58</v>
      </c>
      <c r="C31" s="3" t="s">
        <v>56</v>
      </c>
      <c r="D31" s="2">
        <v>35</v>
      </c>
      <c r="E31" s="2">
        <v>15</v>
      </c>
      <c r="F31" s="2"/>
      <c r="G31" s="2">
        <v>1</v>
      </c>
      <c r="H31" s="2">
        <v>1</v>
      </c>
      <c r="I31" s="2">
        <v>3</v>
      </c>
      <c r="J31" s="2">
        <v>3</v>
      </c>
      <c r="K31" s="9">
        <v>0.5714285714285714</v>
      </c>
    </row>
    <row r="32" spans="1:11" x14ac:dyDescent="0.3">
      <c r="A32" s="3" t="s">
        <v>54</v>
      </c>
      <c r="B32" s="3" t="s">
        <v>58</v>
      </c>
      <c r="C32" s="3" t="s">
        <v>43</v>
      </c>
      <c r="D32" s="2">
        <v>25</v>
      </c>
      <c r="E32" s="2">
        <v>11</v>
      </c>
      <c r="F32" s="2"/>
      <c r="G32" s="2"/>
      <c r="H32" s="2"/>
      <c r="I32" s="2">
        <v>4</v>
      </c>
      <c r="J32" s="2"/>
      <c r="K32" s="9">
        <v>0.6</v>
      </c>
    </row>
    <row r="33" spans="1:11" x14ac:dyDescent="0.3">
      <c r="A33" s="3" t="s">
        <v>62</v>
      </c>
      <c r="B33" s="3" t="s">
        <v>63</v>
      </c>
      <c r="C33" s="3" t="s">
        <v>56</v>
      </c>
      <c r="D33" s="2">
        <v>50</v>
      </c>
      <c r="E33" s="2">
        <v>26</v>
      </c>
      <c r="F33" s="2">
        <v>2</v>
      </c>
      <c r="G33" s="2">
        <v>1</v>
      </c>
      <c r="H33" s="2"/>
      <c r="I33" s="2">
        <v>2</v>
      </c>
      <c r="J33" s="2">
        <v>3</v>
      </c>
      <c r="K33" s="9">
        <v>0.62</v>
      </c>
    </row>
    <row r="34" spans="1:11" x14ac:dyDescent="0.3">
      <c r="A34" s="3" t="s">
        <v>62</v>
      </c>
      <c r="B34" s="3" t="s">
        <v>63</v>
      </c>
      <c r="C34" s="3" t="s">
        <v>43</v>
      </c>
      <c r="D34" s="2">
        <v>49</v>
      </c>
      <c r="E34" s="2">
        <v>32</v>
      </c>
      <c r="F34" s="2"/>
      <c r="G34" s="2">
        <v>3</v>
      </c>
      <c r="H34" s="2"/>
      <c r="I34" s="2">
        <v>1</v>
      </c>
      <c r="J34" s="2"/>
      <c r="K34" s="9">
        <v>0.73469387755102045</v>
      </c>
    </row>
    <row r="36" spans="1:11" x14ac:dyDescent="0.3">
      <c r="A36" s="10" t="s">
        <v>74</v>
      </c>
    </row>
    <row r="37" spans="1:11" x14ac:dyDescent="0.3">
      <c r="A37" t="b">
        <f>AND(RANK(K5,$K$5:$K$34)&gt;=11,RANK(K5,$K$5:$K$34)&lt;=20)</f>
        <v>1</v>
      </c>
    </row>
    <row r="39" spans="1:11" x14ac:dyDescent="0.3">
      <c r="A39" s="3" t="s">
        <v>45</v>
      </c>
      <c r="B39" s="3" t="s">
        <v>46</v>
      </c>
      <c r="C39" s="3" t="s">
        <v>42</v>
      </c>
      <c r="D39" s="3" t="s">
        <v>47</v>
      </c>
      <c r="E39" s="3" t="s">
        <v>48</v>
      </c>
      <c r="F39" s="3" t="s">
        <v>49</v>
      </c>
      <c r="G39" s="3" t="s">
        <v>50</v>
      </c>
      <c r="H39" s="3" t="s">
        <v>51</v>
      </c>
      <c r="I39" s="3" t="s">
        <v>52</v>
      </c>
      <c r="J39" s="3" t="s">
        <v>53</v>
      </c>
      <c r="K39" s="3" t="s">
        <v>44</v>
      </c>
    </row>
    <row r="40" spans="1:11" x14ac:dyDescent="0.3">
      <c r="A40" s="3" t="s">
        <v>68</v>
      </c>
      <c r="B40" s="3" t="s">
        <v>69</v>
      </c>
      <c r="C40" s="3" t="s">
        <v>56</v>
      </c>
      <c r="D40" s="2">
        <v>40</v>
      </c>
      <c r="E40" s="2">
        <v>19</v>
      </c>
      <c r="F40" s="2"/>
      <c r="G40" s="2">
        <v>1</v>
      </c>
      <c r="H40" s="2">
        <v>1</v>
      </c>
      <c r="I40" s="2">
        <v>2</v>
      </c>
      <c r="J40" s="2">
        <v>5</v>
      </c>
      <c r="K40" s="9">
        <v>0.57499999999999996</v>
      </c>
    </row>
    <row r="41" spans="1:11" x14ac:dyDescent="0.3">
      <c r="A41" s="3" t="s">
        <v>68</v>
      </c>
      <c r="B41" s="3" t="s">
        <v>70</v>
      </c>
      <c r="C41" s="3" t="s">
        <v>56</v>
      </c>
      <c r="D41" s="2">
        <v>45</v>
      </c>
      <c r="E41" s="2">
        <v>21</v>
      </c>
      <c r="F41" s="2"/>
      <c r="G41" s="2"/>
      <c r="H41" s="2">
        <v>4</v>
      </c>
      <c r="I41" s="2">
        <v>1</v>
      </c>
      <c r="J41" s="2">
        <v>1</v>
      </c>
      <c r="K41" s="9">
        <v>0.57777777777777772</v>
      </c>
    </row>
    <row r="42" spans="1:11" x14ac:dyDescent="0.3">
      <c r="A42" s="3" t="s">
        <v>68</v>
      </c>
      <c r="B42" s="3" t="s">
        <v>70</v>
      </c>
      <c r="C42" s="3" t="s">
        <v>43</v>
      </c>
      <c r="D42" s="2">
        <v>50</v>
      </c>
      <c r="E42" s="2">
        <v>24</v>
      </c>
      <c r="F42" s="2"/>
      <c r="G42" s="2">
        <v>2</v>
      </c>
      <c r="H42" s="2">
        <v>5</v>
      </c>
      <c r="I42" s="2">
        <v>1</v>
      </c>
      <c r="J42" s="2"/>
      <c r="K42" s="9">
        <v>0.64</v>
      </c>
    </row>
    <row r="43" spans="1:11" x14ac:dyDescent="0.3">
      <c r="A43" s="3" t="s">
        <v>62</v>
      </c>
      <c r="B43" s="3" t="s">
        <v>67</v>
      </c>
      <c r="C43" s="3" t="s">
        <v>43</v>
      </c>
      <c r="D43" s="2">
        <v>70</v>
      </c>
      <c r="E43" s="2">
        <v>36</v>
      </c>
      <c r="F43" s="2"/>
      <c r="G43" s="2">
        <v>3</v>
      </c>
      <c r="H43" s="2"/>
      <c r="I43" s="2">
        <v>1</v>
      </c>
      <c r="J43" s="2"/>
      <c r="K43" s="9">
        <v>0.5714285714285714</v>
      </c>
    </row>
    <row r="44" spans="1:11" x14ac:dyDescent="0.3">
      <c r="A44" s="3" t="s">
        <v>68</v>
      </c>
      <c r="B44" s="3" t="s">
        <v>72</v>
      </c>
      <c r="C44" s="3" t="s">
        <v>43</v>
      </c>
      <c r="D44" s="2">
        <v>35</v>
      </c>
      <c r="E44" s="2">
        <v>13</v>
      </c>
      <c r="F44" s="2"/>
      <c r="G44" s="2">
        <v>2</v>
      </c>
      <c r="H44" s="2">
        <v>5</v>
      </c>
      <c r="I44" s="2">
        <v>1</v>
      </c>
      <c r="J44" s="2"/>
      <c r="K44" s="9">
        <v>0.6</v>
      </c>
    </row>
    <row r="45" spans="1:11" x14ac:dyDescent="0.3">
      <c r="A45" s="3" t="s">
        <v>62</v>
      </c>
      <c r="B45" s="3" t="s">
        <v>66</v>
      </c>
      <c r="C45" s="3" t="s">
        <v>43</v>
      </c>
      <c r="D45" s="2">
        <v>50</v>
      </c>
      <c r="E45" s="2">
        <v>23</v>
      </c>
      <c r="F45" s="2">
        <v>1</v>
      </c>
      <c r="G45" s="2">
        <v>3</v>
      </c>
      <c r="H45" s="2">
        <v>4</v>
      </c>
      <c r="I45" s="2">
        <v>2</v>
      </c>
      <c r="J45" s="2"/>
      <c r="K45" s="9">
        <v>0.66</v>
      </c>
    </row>
    <row r="46" spans="1:11" x14ac:dyDescent="0.3">
      <c r="A46" s="3" t="s">
        <v>54</v>
      </c>
      <c r="B46" s="3" t="s">
        <v>57</v>
      </c>
      <c r="C46" s="3" t="s">
        <v>56</v>
      </c>
      <c r="D46" s="2">
        <v>45</v>
      </c>
      <c r="E46" s="2">
        <v>23</v>
      </c>
      <c r="F46" s="2">
        <v>4</v>
      </c>
      <c r="G46" s="2"/>
      <c r="H46" s="2">
        <v>1</v>
      </c>
      <c r="I46" s="2">
        <v>1</v>
      </c>
      <c r="J46" s="2">
        <v>2</v>
      </c>
      <c r="K46" s="9">
        <v>0.64444444444444449</v>
      </c>
    </row>
    <row r="47" spans="1:11" x14ac:dyDescent="0.3">
      <c r="A47" s="3" t="s">
        <v>54</v>
      </c>
      <c r="B47" s="3" t="s">
        <v>58</v>
      </c>
      <c r="C47" s="3" t="s">
        <v>56</v>
      </c>
      <c r="D47" s="2">
        <v>35</v>
      </c>
      <c r="E47" s="2">
        <v>15</v>
      </c>
      <c r="F47" s="2"/>
      <c r="G47" s="2">
        <v>1</v>
      </c>
      <c r="H47" s="2">
        <v>1</v>
      </c>
      <c r="I47" s="2">
        <v>3</v>
      </c>
      <c r="J47" s="2">
        <v>3</v>
      </c>
      <c r="K47" s="9">
        <v>0.5714285714285714</v>
      </c>
    </row>
    <row r="48" spans="1:11" x14ac:dyDescent="0.3">
      <c r="A48" s="3" t="s">
        <v>54</v>
      </c>
      <c r="B48" s="3" t="s">
        <v>58</v>
      </c>
      <c r="C48" s="3" t="s">
        <v>43</v>
      </c>
      <c r="D48" s="2">
        <v>25</v>
      </c>
      <c r="E48" s="2">
        <v>11</v>
      </c>
      <c r="F48" s="2"/>
      <c r="G48" s="2"/>
      <c r="H48" s="2"/>
      <c r="I48" s="2">
        <v>4</v>
      </c>
      <c r="J48" s="2"/>
      <c r="K48" s="9">
        <v>0.6</v>
      </c>
    </row>
    <row r="49" spans="1:11" x14ac:dyDescent="0.3">
      <c r="A49" s="3" t="s">
        <v>62</v>
      </c>
      <c r="B49" s="3" t="s">
        <v>63</v>
      </c>
      <c r="C49" s="3" t="s">
        <v>56</v>
      </c>
      <c r="D49" s="2">
        <v>50</v>
      </c>
      <c r="E49" s="2">
        <v>26</v>
      </c>
      <c r="F49" s="2">
        <v>2</v>
      </c>
      <c r="G49" s="2">
        <v>1</v>
      </c>
      <c r="H49" s="2"/>
      <c r="I49" s="2">
        <v>2</v>
      </c>
      <c r="J49" s="2">
        <v>3</v>
      </c>
      <c r="K49" s="9">
        <v>0.62</v>
      </c>
    </row>
  </sheetData>
  <sortState ref="A5:K34">
    <sortCondition ref="B9"/>
  </sortState>
  <mergeCells count="1">
    <mergeCell ref="A2:K2"/>
  </mergeCells>
  <phoneticPr fontId="2" type="noConversion"/>
  <conditionalFormatting sqref="A5:K34">
    <cfRule type="expression" dxfId="0" priority="1">
      <formula>AND($K5&gt;=AVERAGE($K$5:$K$34),$C5="남")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&amp;C&amp;A 시트/&amp;P페이지</oddFooter>
  </headerFooter>
  <rowBreaks count="1" manualBreakCount="1">
    <brk id="60" max="14" man="1"/>
  </rowBreaks>
  <colBreaks count="1" manualBreakCount="1">
    <brk id="12" max="74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S33"/>
  <sheetViews>
    <sheetView workbookViewId="0"/>
  </sheetViews>
  <sheetFormatPr defaultRowHeight="16.5" x14ac:dyDescent="0.3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 x14ac:dyDescent="0.3">
      <c r="A2" t="s">
        <v>14</v>
      </c>
      <c r="O2" t="s">
        <v>18</v>
      </c>
    </row>
    <row r="3" spans="1:19" x14ac:dyDescent="0.3">
      <c r="A3" s="3" t="s">
        <v>0</v>
      </c>
      <c r="B3" s="3" t="s">
        <v>4</v>
      </c>
      <c r="C3" s="3" t="s">
        <v>5</v>
      </c>
      <c r="D3" s="3" t="s">
        <v>6</v>
      </c>
      <c r="E3" s="3" t="s">
        <v>7</v>
      </c>
      <c r="F3" s="3" t="s">
        <v>8</v>
      </c>
      <c r="G3" s="3" t="s">
        <v>9</v>
      </c>
      <c r="H3" s="3" t="s">
        <v>10</v>
      </c>
      <c r="I3" s="3" t="s">
        <v>11</v>
      </c>
      <c r="J3" s="3" t="s">
        <v>12</v>
      </c>
      <c r="K3" s="3" t="s">
        <v>13</v>
      </c>
      <c r="L3" s="7" t="s">
        <v>40</v>
      </c>
      <c r="M3" s="7" t="s">
        <v>75</v>
      </c>
      <c r="O3" s="3" t="s">
        <v>15</v>
      </c>
      <c r="P3" s="7" t="s">
        <v>7</v>
      </c>
      <c r="Q3" s="7" t="s">
        <v>8</v>
      </c>
      <c r="R3" s="7" t="s">
        <v>9</v>
      </c>
      <c r="S3" s="7" t="s">
        <v>10</v>
      </c>
    </row>
    <row r="4" spans="1:19" x14ac:dyDescent="0.3">
      <c r="A4" s="8" t="s">
        <v>1</v>
      </c>
      <c r="B4" s="8" t="s">
        <v>22</v>
      </c>
      <c r="C4" s="8" t="s">
        <v>16</v>
      </c>
      <c r="D4" s="4">
        <v>60</v>
      </c>
      <c r="E4" s="4">
        <v>28</v>
      </c>
      <c r="F4" s="4">
        <v>1</v>
      </c>
      <c r="G4" s="4">
        <v>4</v>
      </c>
      <c r="H4" s="4">
        <v>1</v>
      </c>
      <c r="I4" s="4">
        <v>1</v>
      </c>
      <c r="J4" s="4">
        <v>3</v>
      </c>
      <c r="K4" s="5">
        <f t="shared" ref="K4:K33" si="0">SUM(E4:I4)/D4</f>
        <v>0.58333333333333337</v>
      </c>
      <c r="L4" s="2" t="str">
        <f>IF(K4&lt;=50%,REPT("■",QUOTIENT(K4,10%)),REPT("□",QUOTIENT(K4,10%)))</f>
        <v>□□□□□</v>
      </c>
      <c r="M4" s="2" t="str">
        <f>fn비고(K4)</f>
        <v/>
      </c>
      <c r="O4" s="3" t="s">
        <v>16</v>
      </c>
      <c r="P4" s="3" t="str">
        <f>TEXT(SUMIF($C$4:$C$33,$O4,E$4:E$33)/SUMIF($C$4:$C$33,$O4,$D$4:$D$33),"0.0%")</f>
        <v>49.2%</v>
      </c>
      <c r="Q4" s="3" t="str">
        <f t="shared" ref="Q4:S5" si="1">TEXT(SUMIF($C$4:$C$33,$O4,F$4:F$33)/SUMIF($C$4:$C$33,$O4,$D$4:$D$33),"0.0%")</f>
        <v>2.5%</v>
      </c>
      <c r="R4" s="3" t="str">
        <f t="shared" si="1"/>
        <v>2.9%</v>
      </c>
      <c r="S4" s="3" t="str">
        <f t="shared" si="1"/>
        <v>2.7%</v>
      </c>
    </row>
    <row r="5" spans="1:19" x14ac:dyDescent="0.3">
      <c r="A5" s="8" t="s">
        <v>1</v>
      </c>
      <c r="B5" s="8" t="s">
        <v>22</v>
      </c>
      <c r="C5" s="8" t="s">
        <v>17</v>
      </c>
      <c r="D5" s="4">
        <v>50</v>
      </c>
      <c r="E5" s="4">
        <v>15</v>
      </c>
      <c r="F5" s="4">
        <v>2</v>
      </c>
      <c r="G5" s="4">
        <v>1</v>
      </c>
      <c r="H5" s="4">
        <v>2</v>
      </c>
      <c r="I5" s="4">
        <v>4</v>
      </c>
      <c r="J5" s="4"/>
      <c r="K5" s="5">
        <f t="shared" si="0"/>
        <v>0.48</v>
      </c>
      <c r="L5" s="2" t="str">
        <f t="shared" ref="L5:L33" si="2">IF(K5&lt;=50%,REPT("■",QUOTIENT(K5,10%)),REPT("□",QUOTIENT(K5,10%)))</f>
        <v>■■■■</v>
      </c>
      <c r="M5" s="2" t="str">
        <f t="shared" ref="M5:M33" si="3">fn비고(K5)</f>
        <v>전문상담필요</v>
      </c>
      <c r="O5" s="3" t="s">
        <v>17</v>
      </c>
      <c r="P5" s="3" t="str">
        <f>TEXT(SUMIF($C$4:$C$33,$O5,E$4:E$33)/SUMIF($C$4:$C$33,$O5,$D$4:$D$33),"0.0%")</f>
        <v>47.3%</v>
      </c>
      <c r="Q5" s="3" t="str">
        <f t="shared" si="1"/>
        <v>3.4%</v>
      </c>
      <c r="R5" s="3" t="str">
        <f t="shared" si="1"/>
        <v>3.2%</v>
      </c>
      <c r="S5" s="3" t="str">
        <f t="shared" si="1"/>
        <v>6.2%</v>
      </c>
    </row>
    <row r="6" spans="1:19" x14ac:dyDescent="0.3">
      <c r="A6" s="8" t="s">
        <v>1</v>
      </c>
      <c r="B6" s="8" t="s">
        <v>23</v>
      </c>
      <c r="C6" s="8" t="s">
        <v>16</v>
      </c>
      <c r="D6" s="4">
        <v>45</v>
      </c>
      <c r="E6" s="4">
        <v>23</v>
      </c>
      <c r="F6" s="4">
        <v>5</v>
      </c>
      <c r="G6" s="4"/>
      <c r="H6" s="4">
        <v>1</v>
      </c>
      <c r="I6" s="4">
        <v>1</v>
      </c>
      <c r="J6" s="4">
        <v>2</v>
      </c>
      <c r="K6" s="5">
        <f t="shared" si="0"/>
        <v>0.66666666666666663</v>
      </c>
      <c r="L6" s="2" t="str">
        <f t="shared" si="2"/>
        <v>□□□□□□</v>
      </c>
      <c r="M6" s="2" t="str">
        <f t="shared" si="3"/>
        <v/>
      </c>
      <c r="O6" s="1"/>
      <c r="P6" s="1"/>
      <c r="Q6" s="1"/>
      <c r="R6" s="1"/>
      <c r="S6" s="1"/>
    </row>
    <row r="7" spans="1:19" x14ac:dyDescent="0.3">
      <c r="A7" s="8" t="s">
        <v>1</v>
      </c>
      <c r="B7" s="8" t="s">
        <v>23</v>
      </c>
      <c r="C7" s="8" t="s">
        <v>17</v>
      </c>
      <c r="D7" s="4">
        <v>50</v>
      </c>
      <c r="E7" s="4">
        <v>13</v>
      </c>
      <c r="F7" s="4">
        <v>3</v>
      </c>
      <c r="G7" s="4">
        <v>3</v>
      </c>
      <c r="H7" s="4">
        <v>2</v>
      </c>
      <c r="I7" s="4">
        <v>2</v>
      </c>
      <c r="J7" s="4"/>
      <c r="K7" s="5">
        <f t="shared" si="0"/>
        <v>0.46</v>
      </c>
      <c r="L7" s="2" t="str">
        <f t="shared" si="2"/>
        <v>■■■■</v>
      </c>
      <c r="M7" s="2" t="str">
        <f t="shared" si="3"/>
        <v>전문상담필요</v>
      </c>
      <c r="O7" s="6" t="s">
        <v>37</v>
      </c>
    </row>
    <row r="8" spans="1:19" x14ac:dyDescent="0.3">
      <c r="A8" s="8" t="s">
        <v>1</v>
      </c>
      <c r="B8" s="8" t="s">
        <v>24</v>
      </c>
      <c r="C8" s="8" t="s">
        <v>16</v>
      </c>
      <c r="D8" s="4">
        <v>35</v>
      </c>
      <c r="E8" s="4">
        <v>15</v>
      </c>
      <c r="F8" s="4"/>
      <c r="G8" s="4">
        <v>1</v>
      </c>
      <c r="H8" s="4">
        <v>1</v>
      </c>
      <c r="I8" s="4">
        <v>3</v>
      </c>
      <c r="J8" s="4">
        <v>3</v>
      </c>
      <c r="K8" s="5">
        <f t="shared" si="0"/>
        <v>0.5714285714285714</v>
      </c>
      <c r="L8" s="2" t="str">
        <f t="shared" si="2"/>
        <v>□□□□□</v>
      </c>
      <c r="M8" s="2" t="str">
        <f t="shared" si="3"/>
        <v/>
      </c>
      <c r="O8" s="3" t="s">
        <v>19</v>
      </c>
      <c r="P8" s="7" t="s">
        <v>7</v>
      </c>
      <c r="Q8" s="7" t="s">
        <v>8</v>
      </c>
      <c r="R8" s="7" t="s">
        <v>9</v>
      </c>
      <c r="S8" s="7" t="s">
        <v>10</v>
      </c>
    </row>
    <row r="9" spans="1:19" x14ac:dyDescent="0.3">
      <c r="A9" s="8" t="s">
        <v>1</v>
      </c>
      <c r="B9" s="8" t="s">
        <v>24</v>
      </c>
      <c r="C9" s="8" t="s">
        <v>17</v>
      </c>
      <c r="D9" s="4">
        <v>25</v>
      </c>
      <c r="E9" s="4">
        <v>11</v>
      </c>
      <c r="F9" s="4"/>
      <c r="G9" s="4"/>
      <c r="H9" s="4"/>
      <c r="I9" s="4">
        <v>4</v>
      </c>
      <c r="J9" s="4"/>
      <c r="K9" s="5">
        <f t="shared" si="0"/>
        <v>0.6</v>
      </c>
      <c r="L9" s="2" t="str">
        <f t="shared" si="2"/>
        <v>□□□□□</v>
      </c>
      <c r="M9" s="2" t="str">
        <f t="shared" si="3"/>
        <v/>
      </c>
      <c r="O9" s="3" t="s">
        <v>20</v>
      </c>
      <c r="P9" s="3" t="str">
        <f t="array" ref="P9">INDEX($B$4:$B$33,MATCH(LARGE(($A$4:$A$33=$O9)*E$4:E$33,1),($A$4:$A$33=$O9)*E$4:E$33,0))</f>
        <v>중어중문학과</v>
      </c>
      <c r="Q9" s="3" t="str">
        <f t="array" ref="Q9">INDEX($B$4:$B$33,MATCH(LARGE(($A$4:$A$33=$O9)*F$4:F$33,1),($A$4:$A$33=$O9)*F$4:F$33,0))</f>
        <v>영어영문학과</v>
      </c>
      <c r="R9" s="3" t="str">
        <f t="array" ref="R9">INDEX($B$4:$B$33,MATCH(LARGE(($A$4:$A$33=$O9)*G$4:G$33,1),($A$4:$A$33=$O9)*G$4:G$33,0))</f>
        <v>국어국문학과</v>
      </c>
      <c r="S9" s="3" t="str">
        <f t="array" ref="S9">INDEX($B$4:$B$33,MATCH(LARGE(($A$4:$A$33=$O9)*H$4:H$33,1),($A$4:$A$33=$O9)*H$4:H$33,0))</f>
        <v>중어중문학과</v>
      </c>
    </row>
    <row r="10" spans="1:19" x14ac:dyDescent="0.3">
      <c r="A10" s="8" t="s">
        <v>1</v>
      </c>
      <c r="B10" s="8" t="s">
        <v>25</v>
      </c>
      <c r="C10" s="8" t="s">
        <v>16</v>
      </c>
      <c r="D10" s="4">
        <v>40</v>
      </c>
      <c r="E10" s="4">
        <v>21</v>
      </c>
      <c r="F10" s="4"/>
      <c r="G10" s="4">
        <v>3</v>
      </c>
      <c r="H10" s="4">
        <v>1</v>
      </c>
      <c r="I10" s="4">
        <v>2</v>
      </c>
      <c r="J10" s="4">
        <v>4</v>
      </c>
      <c r="K10" s="5">
        <f t="shared" si="0"/>
        <v>0.67500000000000004</v>
      </c>
      <c r="L10" s="2" t="str">
        <f t="shared" si="2"/>
        <v>□□□□□□</v>
      </c>
      <c r="M10" s="2" t="str">
        <f t="shared" si="3"/>
        <v/>
      </c>
      <c r="O10" s="3" t="s">
        <v>21</v>
      </c>
      <c r="P10" s="3" t="str">
        <f t="array" ref="P10">INDEX($B$4:$B$33,MATCH(LARGE(($A$4:$A$33=$O10)*E$4:E$33,1),($A$4:$A$33=$O10)*E$4:E$33,0))</f>
        <v>정치외교학과</v>
      </c>
      <c r="Q10" s="3" t="str">
        <f t="array" ref="Q10">INDEX($B$4:$B$33,MATCH(LARGE(($A$4:$A$33=$O10)*F$4:F$33,1),($A$4:$A$33=$O10)*F$4:F$33,0))</f>
        <v>정치외교학과</v>
      </c>
      <c r="R10" s="3" t="str">
        <f t="array" ref="R10">INDEX($B$4:$B$33,MATCH(LARGE(($A$4:$A$33=$O10)*G$4:G$33,1),($A$4:$A$33=$O10)*G$4:G$33,0))</f>
        <v>사회학과</v>
      </c>
      <c r="S10" s="3" t="str">
        <f t="array" ref="S10">INDEX($B$4:$B$33,MATCH(LARGE(($A$4:$A$33=$O10)*H$4:H$33,1),($A$4:$A$33=$O10)*H$4:H$33,0))</f>
        <v>심리학과</v>
      </c>
    </row>
    <row r="11" spans="1:19" x14ac:dyDescent="0.3">
      <c r="A11" s="8" t="s">
        <v>1</v>
      </c>
      <c r="B11" s="8" t="s">
        <v>25</v>
      </c>
      <c r="C11" s="8" t="s">
        <v>17</v>
      </c>
      <c r="D11" s="4">
        <v>55</v>
      </c>
      <c r="E11" s="4">
        <v>32</v>
      </c>
      <c r="F11" s="4">
        <v>2</v>
      </c>
      <c r="G11" s="4">
        <v>1</v>
      </c>
      <c r="H11" s="4">
        <v>3</v>
      </c>
      <c r="I11" s="4"/>
      <c r="J11" s="4"/>
      <c r="K11" s="5">
        <f t="shared" si="0"/>
        <v>0.69090909090909092</v>
      </c>
      <c r="L11" s="2" t="str">
        <f t="shared" si="2"/>
        <v>□□□□□□</v>
      </c>
      <c r="M11" s="2" t="str">
        <f t="shared" si="3"/>
        <v/>
      </c>
    </row>
    <row r="12" spans="1:19" x14ac:dyDescent="0.3">
      <c r="A12" s="8" t="s">
        <v>1</v>
      </c>
      <c r="B12" s="8" t="s">
        <v>26</v>
      </c>
      <c r="C12" s="8" t="s">
        <v>16</v>
      </c>
      <c r="D12" s="4">
        <v>55</v>
      </c>
      <c r="E12" s="4">
        <v>19</v>
      </c>
      <c r="F12" s="4">
        <v>1</v>
      </c>
      <c r="G12" s="4">
        <v>2</v>
      </c>
      <c r="H12" s="4">
        <v>1</v>
      </c>
      <c r="I12" s="4"/>
      <c r="J12" s="4">
        <v>2</v>
      </c>
      <c r="K12" s="5">
        <f t="shared" si="0"/>
        <v>0.41818181818181815</v>
      </c>
      <c r="L12" s="2" t="str">
        <f t="shared" si="2"/>
        <v>■■■■</v>
      </c>
      <c r="M12" s="2" t="str">
        <f t="shared" si="3"/>
        <v>전문상담필요</v>
      </c>
      <c r="O12" s="6" t="s">
        <v>41</v>
      </c>
    </row>
    <row r="13" spans="1:19" x14ac:dyDescent="0.3">
      <c r="A13" s="8" t="s">
        <v>1</v>
      </c>
      <c r="B13" s="8" t="s">
        <v>26</v>
      </c>
      <c r="C13" s="8" t="s">
        <v>17</v>
      </c>
      <c r="D13" s="4">
        <v>42</v>
      </c>
      <c r="E13" s="4">
        <v>18</v>
      </c>
      <c r="F13" s="4">
        <v>2</v>
      </c>
      <c r="G13" s="4"/>
      <c r="H13" s="4">
        <v>2</v>
      </c>
      <c r="I13" s="4">
        <v>1</v>
      </c>
      <c r="J13" s="4"/>
      <c r="K13" s="5">
        <f t="shared" si="0"/>
        <v>0.54761904761904767</v>
      </c>
      <c r="L13" s="2" t="str">
        <f t="shared" si="2"/>
        <v>□□□□□</v>
      </c>
      <c r="M13" s="2" t="str">
        <f t="shared" si="3"/>
        <v/>
      </c>
      <c r="O13" s="3"/>
      <c r="P13" s="7" t="s">
        <v>16</v>
      </c>
      <c r="Q13" s="7" t="s">
        <v>17</v>
      </c>
    </row>
    <row r="14" spans="1:19" x14ac:dyDescent="0.3">
      <c r="A14" s="8" t="s">
        <v>1</v>
      </c>
      <c r="B14" s="8" t="s">
        <v>27</v>
      </c>
      <c r="C14" s="8" t="s">
        <v>16</v>
      </c>
      <c r="D14" s="4">
        <v>45</v>
      </c>
      <c r="E14" s="4">
        <v>35</v>
      </c>
      <c r="F14" s="4">
        <v>3</v>
      </c>
      <c r="G14" s="4"/>
      <c r="H14" s="4">
        <v>4</v>
      </c>
      <c r="I14" s="4"/>
      <c r="J14" s="4">
        <v>1</v>
      </c>
      <c r="K14" s="5">
        <f t="shared" si="0"/>
        <v>0.93333333333333335</v>
      </c>
      <c r="L14" s="2" t="str">
        <f t="shared" si="2"/>
        <v>□□□□□□□□□</v>
      </c>
      <c r="M14" s="2" t="str">
        <f t="shared" si="3"/>
        <v>최우수학과</v>
      </c>
      <c r="O14" s="8" t="s">
        <v>38</v>
      </c>
      <c r="P14" s="24">
        <f t="array" ref="P14">ROUND((SUM(($C$4:$C$33=P$13)*$E$4:$E$33)+SUM(($C$4:$C$33=P$13)*$F$4:$F$33))/SUM(($C$4:$C$33=P$13)*$D$4:$D$33),4)</f>
        <v>0.51619999999999999</v>
      </c>
      <c r="Q14" s="24">
        <f t="array" ref="Q14">ROUND((SUM(($C$4:$C$33=Q$13)*$E$4:$E$33)+SUM(($C$4:$C$33=Q$13)*$F$4:$F$33))/SUM(($C$4:$C$33=Q$13)*$D$4:$D$33),4)</f>
        <v>0.50749999999999995</v>
      </c>
    </row>
    <row r="15" spans="1:19" x14ac:dyDescent="0.3">
      <c r="A15" s="8" t="s">
        <v>1</v>
      </c>
      <c r="B15" s="8" t="s">
        <v>27</v>
      </c>
      <c r="C15" s="8" t="s">
        <v>17</v>
      </c>
      <c r="D15" s="4">
        <v>40</v>
      </c>
      <c r="E15" s="4">
        <v>25</v>
      </c>
      <c r="F15" s="4">
        <v>4</v>
      </c>
      <c r="G15" s="4">
        <v>1</v>
      </c>
      <c r="H15" s="4">
        <v>3</v>
      </c>
      <c r="I15" s="4">
        <v>1</v>
      </c>
      <c r="J15" s="4"/>
      <c r="K15" s="5">
        <f t="shared" si="0"/>
        <v>0.85</v>
      </c>
      <c r="L15" s="2" t="str">
        <f t="shared" si="2"/>
        <v>□□□□□□□□</v>
      </c>
      <c r="M15" s="2" t="str">
        <f t="shared" si="3"/>
        <v>우수학과</v>
      </c>
      <c r="O15" s="8" t="s">
        <v>39</v>
      </c>
      <c r="P15" s="24">
        <f t="array" ref="P15">ROUND((SUM(($C$4:$C$33=P$13)*$G$4:$G$33)+SUM(($C$4:$C$33=P$13)*$H$4:$H$33))/SUM(($C$4:$C$33=P$13)*$D$4:$D$33),4)</f>
        <v>5.5800000000000002E-2</v>
      </c>
      <c r="Q15" s="24">
        <f t="array" ref="Q15">ROUND((SUM(($C$4:$C$33=Q$13)*$G$4:$G$33)+SUM(($C$4:$C$33=Q$13)*$H$4:$H$33))/SUM(($C$4:$C$33=Q$13)*$D$4:$D$33),4)</f>
        <v>9.3299999999999994E-2</v>
      </c>
    </row>
    <row r="16" spans="1:19" x14ac:dyDescent="0.3">
      <c r="A16" s="8" t="s">
        <v>3</v>
      </c>
      <c r="B16" s="8" t="s">
        <v>28</v>
      </c>
      <c r="C16" s="8" t="s">
        <v>16</v>
      </c>
      <c r="D16" s="4">
        <v>50</v>
      </c>
      <c r="E16" s="4">
        <v>26</v>
      </c>
      <c r="F16" s="4">
        <v>2</v>
      </c>
      <c r="G16" s="4">
        <v>1</v>
      </c>
      <c r="H16" s="4"/>
      <c r="I16" s="4">
        <v>2</v>
      </c>
      <c r="J16" s="4">
        <v>3</v>
      </c>
      <c r="K16" s="5">
        <f t="shared" si="0"/>
        <v>0.62</v>
      </c>
      <c r="L16" s="2" t="str">
        <f t="shared" si="2"/>
        <v>□□□□□□</v>
      </c>
      <c r="M16" s="2" t="str">
        <f t="shared" si="3"/>
        <v/>
      </c>
    </row>
    <row r="17" spans="1:13" x14ac:dyDescent="0.3">
      <c r="A17" s="8" t="s">
        <v>3</v>
      </c>
      <c r="B17" s="8" t="s">
        <v>28</v>
      </c>
      <c r="C17" s="8" t="s">
        <v>17</v>
      </c>
      <c r="D17" s="4">
        <v>49</v>
      </c>
      <c r="E17" s="4">
        <v>32</v>
      </c>
      <c r="F17" s="4"/>
      <c r="G17" s="4">
        <v>3</v>
      </c>
      <c r="H17" s="4"/>
      <c r="I17" s="4">
        <v>1</v>
      </c>
      <c r="J17" s="4"/>
      <c r="K17" s="5">
        <f t="shared" si="0"/>
        <v>0.73469387755102045</v>
      </c>
      <c r="L17" s="2" t="str">
        <f t="shared" si="2"/>
        <v>□□□□□□□</v>
      </c>
      <c r="M17" s="2" t="str">
        <f t="shared" si="3"/>
        <v/>
      </c>
    </row>
    <row r="18" spans="1:13" x14ac:dyDescent="0.3">
      <c r="A18" s="8" t="s">
        <v>3</v>
      </c>
      <c r="B18" s="8" t="s">
        <v>29</v>
      </c>
      <c r="C18" s="8" t="s">
        <v>16</v>
      </c>
      <c r="D18" s="4">
        <v>91</v>
      </c>
      <c r="E18" s="4">
        <v>45</v>
      </c>
      <c r="F18" s="4">
        <v>3</v>
      </c>
      <c r="G18" s="4">
        <v>1</v>
      </c>
      <c r="H18" s="4"/>
      <c r="I18" s="4"/>
      <c r="J18" s="4">
        <v>2</v>
      </c>
      <c r="K18" s="5">
        <f t="shared" si="0"/>
        <v>0.53846153846153844</v>
      </c>
      <c r="L18" s="2" t="str">
        <f t="shared" si="2"/>
        <v>□□□□□</v>
      </c>
      <c r="M18" s="2" t="str">
        <f t="shared" si="3"/>
        <v/>
      </c>
    </row>
    <row r="19" spans="1:13" x14ac:dyDescent="0.3">
      <c r="A19" s="8" t="s">
        <v>3</v>
      </c>
      <c r="B19" s="8" t="s">
        <v>29</v>
      </c>
      <c r="C19" s="8" t="s">
        <v>17</v>
      </c>
      <c r="D19" s="4">
        <v>52</v>
      </c>
      <c r="E19" s="4">
        <v>30</v>
      </c>
      <c r="F19" s="4">
        <v>5</v>
      </c>
      <c r="G19" s="4">
        <v>1</v>
      </c>
      <c r="H19" s="4"/>
      <c r="I19" s="4">
        <v>3</v>
      </c>
      <c r="J19" s="4"/>
      <c r="K19" s="5">
        <f t="shared" si="0"/>
        <v>0.75</v>
      </c>
      <c r="L19" s="2" t="str">
        <f t="shared" si="2"/>
        <v>□□□□□□□</v>
      </c>
      <c r="M19" s="2" t="str">
        <f t="shared" si="3"/>
        <v/>
      </c>
    </row>
    <row r="20" spans="1:13" x14ac:dyDescent="0.3">
      <c r="A20" s="8" t="s">
        <v>3</v>
      </c>
      <c r="B20" s="8" t="s">
        <v>30</v>
      </c>
      <c r="C20" s="8" t="s">
        <v>16</v>
      </c>
      <c r="D20" s="4">
        <v>50</v>
      </c>
      <c r="E20" s="4">
        <v>26</v>
      </c>
      <c r="F20" s="4">
        <v>2</v>
      </c>
      <c r="G20" s="4">
        <v>4</v>
      </c>
      <c r="H20" s="4"/>
      <c r="I20" s="4">
        <v>4</v>
      </c>
      <c r="J20" s="4">
        <v>1</v>
      </c>
      <c r="K20" s="5">
        <f t="shared" si="0"/>
        <v>0.72</v>
      </c>
      <c r="L20" s="2" t="str">
        <f t="shared" si="2"/>
        <v>□□□□□□□</v>
      </c>
      <c r="M20" s="2" t="str">
        <f t="shared" si="3"/>
        <v/>
      </c>
    </row>
    <row r="21" spans="1:13" x14ac:dyDescent="0.3">
      <c r="A21" s="8" t="s">
        <v>3</v>
      </c>
      <c r="B21" s="8" t="s">
        <v>30</v>
      </c>
      <c r="C21" s="8" t="s">
        <v>17</v>
      </c>
      <c r="D21" s="4">
        <v>51</v>
      </c>
      <c r="E21" s="4">
        <v>21</v>
      </c>
      <c r="F21" s="4">
        <v>2</v>
      </c>
      <c r="G21" s="4">
        <v>1</v>
      </c>
      <c r="H21" s="4"/>
      <c r="I21" s="4">
        <v>2</v>
      </c>
      <c r="J21" s="4"/>
      <c r="K21" s="5">
        <f t="shared" si="0"/>
        <v>0.50980392156862742</v>
      </c>
      <c r="L21" s="2" t="str">
        <f t="shared" si="2"/>
        <v>□□□□□</v>
      </c>
      <c r="M21" s="2" t="str">
        <f t="shared" si="3"/>
        <v/>
      </c>
    </row>
    <row r="22" spans="1:13" x14ac:dyDescent="0.3">
      <c r="A22" s="8" t="s">
        <v>3</v>
      </c>
      <c r="B22" s="8" t="s">
        <v>31</v>
      </c>
      <c r="C22" s="8" t="s">
        <v>16</v>
      </c>
      <c r="D22" s="4">
        <v>45</v>
      </c>
      <c r="E22" s="4">
        <v>15</v>
      </c>
      <c r="F22" s="4"/>
      <c r="G22" s="4">
        <v>2</v>
      </c>
      <c r="H22" s="4"/>
      <c r="I22" s="4">
        <v>2</v>
      </c>
      <c r="J22" s="4">
        <v>3</v>
      </c>
      <c r="K22" s="5">
        <f t="shared" si="0"/>
        <v>0.42222222222222222</v>
      </c>
      <c r="L22" s="2" t="str">
        <f t="shared" si="2"/>
        <v>■■■■</v>
      </c>
      <c r="M22" s="2" t="str">
        <f t="shared" si="3"/>
        <v>전문상담필요</v>
      </c>
    </row>
    <row r="23" spans="1:13" x14ac:dyDescent="0.3">
      <c r="A23" s="8" t="s">
        <v>3</v>
      </c>
      <c r="B23" s="8" t="s">
        <v>31</v>
      </c>
      <c r="C23" s="8" t="s">
        <v>17</v>
      </c>
      <c r="D23" s="4">
        <v>50</v>
      </c>
      <c r="E23" s="4">
        <v>23</v>
      </c>
      <c r="F23" s="4">
        <v>1</v>
      </c>
      <c r="G23" s="4">
        <v>3</v>
      </c>
      <c r="H23" s="4">
        <v>4</v>
      </c>
      <c r="I23" s="4">
        <v>2</v>
      </c>
      <c r="J23" s="4"/>
      <c r="K23" s="5">
        <f t="shared" si="0"/>
        <v>0.66</v>
      </c>
      <c r="L23" s="2" t="str">
        <f t="shared" si="2"/>
        <v>□□□□□□</v>
      </c>
      <c r="M23" s="2" t="str">
        <f t="shared" si="3"/>
        <v/>
      </c>
    </row>
    <row r="24" spans="1:13" x14ac:dyDescent="0.3">
      <c r="A24" s="8" t="s">
        <v>3</v>
      </c>
      <c r="B24" s="8" t="s">
        <v>32</v>
      </c>
      <c r="C24" s="8" t="s">
        <v>16</v>
      </c>
      <c r="D24" s="4">
        <v>70</v>
      </c>
      <c r="E24" s="4">
        <v>32</v>
      </c>
      <c r="F24" s="4"/>
      <c r="G24" s="4">
        <v>1</v>
      </c>
      <c r="H24" s="4"/>
      <c r="I24" s="4">
        <v>1</v>
      </c>
      <c r="J24" s="4">
        <v>2</v>
      </c>
      <c r="K24" s="5">
        <f t="shared" si="0"/>
        <v>0.48571428571428571</v>
      </c>
      <c r="L24" s="2" t="str">
        <f t="shared" si="2"/>
        <v>■■■■</v>
      </c>
      <c r="M24" s="2" t="str">
        <f t="shared" si="3"/>
        <v>전문상담필요</v>
      </c>
    </row>
    <row r="25" spans="1:13" x14ac:dyDescent="0.3">
      <c r="A25" s="8" t="s">
        <v>3</v>
      </c>
      <c r="B25" s="8" t="s">
        <v>32</v>
      </c>
      <c r="C25" s="8" t="s">
        <v>17</v>
      </c>
      <c r="D25" s="4">
        <v>70</v>
      </c>
      <c r="E25" s="4">
        <v>36</v>
      </c>
      <c r="F25" s="4"/>
      <c r="G25" s="4">
        <v>3</v>
      </c>
      <c r="H25" s="4"/>
      <c r="I25" s="4">
        <v>1</v>
      </c>
      <c r="J25" s="4"/>
      <c r="K25" s="5">
        <f t="shared" si="0"/>
        <v>0.5714285714285714</v>
      </c>
      <c r="L25" s="2" t="str">
        <f t="shared" si="2"/>
        <v>□□□□□</v>
      </c>
      <c r="M25" s="2" t="str">
        <f t="shared" si="3"/>
        <v/>
      </c>
    </row>
    <row r="26" spans="1:13" x14ac:dyDescent="0.3">
      <c r="A26" s="8" t="s">
        <v>2</v>
      </c>
      <c r="B26" s="8" t="s">
        <v>33</v>
      </c>
      <c r="C26" s="8" t="s">
        <v>16</v>
      </c>
      <c r="D26" s="4">
        <v>40</v>
      </c>
      <c r="E26" s="4">
        <v>19</v>
      </c>
      <c r="F26" s="4"/>
      <c r="G26" s="4">
        <v>1</v>
      </c>
      <c r="H26" s="4">
        <v>1</v>
      </c>
      <c r="I26" s="4">
        <v>2</v>
      </c>
      <c r="J26" s="4">
        <v>5</v>
      </c>
      <c r="K26" s="5">
        <f t="shared" si="0"/>
        <v>0.57499999999999996</v>
      </c>
      <c r="L26" s="2" t="str">
        <f t="shared" si="2"/>
        <v>□□□□□</v>
      </c>
      <c r="M26" s="2" t="str">
        <f t="shared" si="3"/>
        <v/>
      </c>
    </row>
    <row r="27" spans="1:13" x14ac:dyDescent="0.3">
      <c r="A27" s="8" t="s">
        <v>2</v>
      </c>
      <c r="B27" s="8" t="s">
        <v>33</v>
      </c>
      <c r="C27" s="8" t="s">
        <v>17</v>
      </c>
      <c r="D27" s="4">
        <v>50</v>
      </c>
      <c r="E27" s="4">
        <v>23</v>
      </c>
      <c r="F27" s="4">
        <v>1</v>
      </c>
      <c r="G27" s="4">
        <v>1</v>
      </c>
      <c r="H27" s="4">
        <v>7</v>
      </c>
      <c r="I27" s="4">
        <v>3</v>
      </c>
      <c r="J27" s="4"/>
      <c r="K27" s="5">
        <f t="shared" si="0"/>
        <v>0.7</v>
      </c>
      <c r="L27" s="2" t="str">
        <f t="shared" si="2"/>
        <v>□□□□□□</v>
      </c>
      <c r="M27" s="2" t="str">
        <f t="shared" si="3"/>
        <v/>
      </c>
    </row>
    <row r="28" spans="1:13" x14ac:dyDescent="0.3">
      <c r="A28" s="8" t="s">
        <v>2</v>
      </c>
      <c r="B28" s="8" t="s">
        <v>34</v>
      </c>
      <c r="C28" s="8" t="s">
        <v>16</v>
      </c>
      <c r="D28" s="4">
        <v>45</v>
      </c>
      <c r="E28" s="4">
        <v>21</v>
      </c>
      <c r="F28" s="4"/>
      <c r="G28" s="4"/>
      <c r="H28" s="4">
        <v>4</v>
      </c>
      <c r="I28" s="4">
        <v>1</v>
      </c>
      <c r="J28" s="4">
        <v>1</v>
      </c>
      <c r="K28" s="5">
        <f t="shared" si="0"/>
        <v>0.57777777777777772</v>
      </c>
      <c r="L28" s="2" t="str">
        <f t="shared" si="2"/>
        <v>□□□□□</v>
      </c>
      <c r="M28" s="2" t="str">
        <f t="shared" si="3"/>
        <v/>
      </c>
    </row>
    <row r="29" spans="1:13" x14ac:dyDescent="0.3">
      <c r="A29" s="8" t="s">
        <v>2</v>
      </c>
      <c r="B29" s="8" t="s">
        <v>34</v>
      </c>
      <c r="C29" s="8" t="s">
        <v>17</v>
      </c>
      <c r="D29" s="4">
        <v>50</v>
      </c>
      <c r="E29" s="4">
        <v>24</v>
      </c>
      <c r="F29" s="4"/>
      <c r="G29" s="4">
        <v>2</v>
      </c>
      <c r="H29" s="4">
        <v>5</v>
      </c>
      <c r="I29" s="4">
        <v>1</v>
      </c>
      <c r="J29" s="4"/>
      <c r="K29" s="5">
        <f t="shared" si="0"/>
        <v>0.64</v>
      </c>
      <c r="L29" s="2" t="str">
        <f t="shared" si="2"/>
        <v>□□□□□□</v>
      </c>
      <c r="M29" s="2" t="str">
        <f t="shared" si="3"/>
        <v/>
      </c>
    </row>
    <row r="30" spans="1:13" x14ac:dyDescent="0.3">
      <c r="A30" s="8" t="s">
        <v>2</v>
      </c>
      <c r="B30" s="8" t="s">
        <v>35</v>
      </c>
      <c r="C30" s="8" t="s">
        <v>16</v>
      </c>
      <c r="D30" s="4">
        <v>60</v>
      </c>
      <c r="E30" s="4">
        <v>39</v>
      </c>
      <c r="F30" s="4">
        <v>2</v>
      </c>
      <c r="G30" s="4">
        <v>1</v>
      </c>
      <c r="H30" s="4">
        <v>5</v>
      </c>
      <c r="I30" s="4">
        <v>1</v>
      </c>
      <c r="J30" s="4">
        <v>3</v>
      </c>
      <c r="K30" s="5">
        <f t="shared" si="0"/>
        <v>0.8</v>
      </c>
      <c r="L30" s="2" t="str">
        <f t="shared" si="2"/>
        <v>□□□□□□□□</v>
      </c>
      <c r="M30" s="2" t="str">
        <f t="shared" si="3"/>
        <v>우수학과</v>
      </c>
    </row>
    <row r="31" spans="1:13" x14ac:dyDescent="0.3">
      <c r="A31" s="8" t="s">
        <v>2</v>
      </c>
      <c r="B31" s="8" t="s">
        <v>35</v>
      </c>
      <c r="C31" s="8" t="s">
        <v>17</v>
      </c>
      <c r="D31" s="4">
        <v>60</v>
      </c>
      <c r="E31" s="4">
        <v>29</v>
      </c>
      <c r="F31" s="4">
        <v>3</v>
      </c>
      <c r="G31" s="4">
        <v>1</v>
      </c>
      <c r="H31" s="4">
        <v>12</v>
      </c>
      <c r="I31" s="4">
        <v>2</v>
      </c>
      <c r="J31" s="4"/>
      <c r="K31" s="5">
        <f t="shared" si="0"/>
        <v>0.78333333333333333</v>
      </c>
      <c r="L31" s="2" t="str">
        <f t="shared" si="2"/>
        <v>□□□□□□□</v>
      </c>
      <c r="M31" s="2" t="str">
        <f t="shared" si="3"/>
        <v/>
      </c>
    </row>
    <row r="32" spans="1:13" x14ac:dyDescent="0.3">
      <c r="A32" s="8" t="s">
        <v>2</v>
      </c>
      <c r="B32" s="8" t="s">
        <v>36</v>
      </c>
      <c r="C32" s="8" t="s">
        <v>16</v>
      </c>
      <c r="D32" s="4">
        <v>40</v>
      </c>
      <c r="E32" s="4">
        <v>15</v>
      </c>
      <c r="F32" s="4"/>
      <c r="G32" s="4">
        <v>1</v>
      </c>
      <c r="H32" s="4">
        <v>2</v>
      </c>
      <c r="I32" s="4">
        <v>1</v>
      </c>
      <c r="J32" s="4">
        <v>3</v>
      </c>
      <c r="K32" s="5">
        <f t="shared" si="0"/>
        <v>0.47499999999999998</v>
      </c>
      <c r="L32" s="2" t="str">
        <f t="shared" si="2"/>
        <v>■■■■</v>
      </c>
      <c r="M32" s="2" t="str">
        <f t="shared" si="3"/>
        <v>전문상담필요</v>
      </c>
    </row>
    <row r="33" spans="1:13" x14ac:dyDescent="0.3">
      <c r="A33" s="8" t="s">
        <v>2</v>
      </c>
      <c r="B33" s="8" t="s">
        <v>36</v>
      </c>
      <c r="C33" s="8" t="s">
        <v>17</v>
      </c>
      <c r="D33" s="4">
        <v>35</v>
      </c>
      <c r="E33" s="4">
        <v>13</v>
      </c>
      <c r="F33" s="4"/>
      <c r="G33" s="4">
        <v>2</v>
      </c>
      <c r="H33" s="4">
        <v>5</v>
      </c>
      <c r="I33" s="4">
        <v>1</v>
      </c>
      <c r="J33" s="4"/>
      <c r="K33" s="5">
        <f t="shared" si="0"/>
        <v>0.6</v>
      </c>
      <c r="L33" s="2" t="str">
        <f t="shared" si="2"/>
        <v>□□□□□</v>
      </c>
      <c r="M33" s="2" t="str">
        <f t="shared" si="3"/>
        <v/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2"/>
  <sheetViews>
    <sheetView workbookViewId="0"/>
  </sheetViews>
  <sheetFormatPr defaultColWidth="9" defaultRowHeight="16.5" x14ac:dyDescent="0.3"/>
  <cols>
    <col min="1" max="2" width="12.375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8" max="8" width="9" bestFit="1" customWidth="1"/>
    <col min="9" max="11" width="7.125" bestFit="1" customWidth="1"/>
    <col min="13" max="13" width="13.125" bestFit="1" customWidth="1"/>
    <col min="14" max="15" width="7.5" customWidth="1"/>
    <col min="16" max="16" width="7.375" customWidth="1"/>
  </cols>
  <sheetData>
    <row r="1" spans="1:16" x14ac:dyDescent="0.3">
      <c r="A1" t="s">
        <v>76</v>
      </c>
    </row>
    <row r="2" spans="1:16" x14ac:dyDescent="0.3">
      <c r="A2" s="11" t="s">
        <v>45</v>
      </c>
      <c r="B2" s="11" t="s">
        <v>46</v>
      </c>
      <c r="C2" s="11" t="s">
        <v>42</v>
      </c>
      <c r="D2" s="11" t="s">
        <v>47</v>
      </c>
      <c r="E2" s="11" t="s">
        <v>48</v>
      </c>
      <c r="F2" s="11" t="s">
        <v>49</v>
      </c>
      <c r="G2" s="11" t="s">
        <v>50</v>
      </c>
      <c r="H2" s="11" t="s">
        <v>51</v>
      </c>
      <c r="I2" s="11" t="s">
        <v>52</v>
      </c>
      <c r="J2" s="11" t="s">
        <v>53</v>
      </c>
      <c r="K2" s="11" t="s">
        <v>44</v>
      </c>
      <c r="M2" s="16" t="s">
        <v>78</v>
      </c>
      <c r="N2" s="16" t="s">
        <v>42</v>
      </c>
    </row>
    <row r="3" spans="1:16" x14ac:dyDescent="0.3">
      <c r="A3" s="12" t="s">
        <v>68</v>
      </c>
      <c r="B3" s="12" t="s">
        <v>69</v>
      </c>
      <c r="C3" s="12" t="s">
        <v>56</v>
      </c>
      <c r="D3" s="13">
        <v>40</v>
      </c>
      <c r="E3" s="13">
        <v>19</v>
      </c>
      <c r="F3" s="14"/>
      <c r="G3" s="13">
        <v>1</v>
      </c>
      <c r="H3" s="13">
        <v>1</v>
      </c>
      <c r="I3" s="13">
        <v>2</v>
      </c>
      <c r="J3" s="13">
        <v>5</v>
      </c>
      <c r="K3" s="15">
        <v>0.57499999999999996</v>
      </c>
      <c r="M3" s="16" t="s">
        <v>46</v>
      </c>
      <c r="N3" t="s">
        <v>56</v>
      </c>
      <c r="O3" t="s">
        <v>43</v>
      </c>
      <c r="P3" t="s">
        <v>77</v>
      </c>
    </row>
    <row r="4" spans="1:16" x14ac:dyDescent="0.3">
      <c r="A4" s="12" t="s">
        <v>68</v>
      </c>
      <c r="B4" s="12" t="s">
        <v>69</v>
      </c>
      <c r="C4" s="12" t="s">
        <v>43</v>
      </c>
      <c r="D4" s="13">
        <v>50</v>
      </c>
      <c r="E4" s="13">
        <v>23</v>
      </c>
      <c r="F4" s="13">
        <v>1</v>
      </c>
      <c r="G4" s="13">
        <v>1</v>
      </c>
      <c r="H4" s="13">
        <v>7</v>
      </c>
      <c r="I4" s="13">
        <v>3</v>
      </c>
      <c r="J4" s="14"/>
      <c r="K4" s="15">
        <v>0.7</v>
      </c>
      <c r="M4" t="s">
        <v>69</v>
      </c>
      <c r="N4" s="17">
        <v>0.57499999999999996</v>
      </c>
      <c r="O4" s="17">
        <v>0.7</v>
      </c>
      <c r="P4" s="17">
        <v>0.63749999999999996</v>
      </c>
    </row>
    <row r="5" spans="1:16" x14ac:dyDescent="0.3">
      <c r="A5" s="12" t="s">
        <v>68</v>
      </c>
      <c r="B5" s="12" t="s">
        <v>70</v>
      </c>
      <c r="C5" s="12" t="s">
        <v>56</v>
      </c>
      <c r="D5" s="13">
        <v>45</v>
      </c>
      <c r="E5" s="13">
        <v>21</v>
      </c>
      <c r="F5" s="14"/>
      <c r="G5" s="14"/>
      <c r="H5" s="13">
        <v>4</v>
      </c>
      <c r="I5" s="13">
        <v>1</v>
      </c>
      <c r="J5" s="13">
        <v>1</v>
      </c>
      <c r="K5" s="15">
        <v>0.57777777777777772</v>
      </c>
      <c r="M5" t="s">
        <v>70</v>
      </c>
      <c r="N5" s="17">
        <v>0.57777777777777772</v>
      </c>
      <c r="O5" s="17">
        <v>0.64</v>
      </c>
      <c r="P5" s="17">
        <v>0.60888888888888881</v>
      </c>
    </row>
    <row r="6" spans="1:16" x14ac:dyDescent="0.3">
      <c r="A6" s="12" t="s">
        <v>68</v>
      </c>
      <c r="B6" s="12" t="s">
        <v>70</v>
      </c>
      <c r="C6" s="12" t="s">
        <v>43</v>
      </c>
      <c r="D6" s="13">
        <v>50</v>
      </c>
      <c r="E6" s="13">
        <v>24</v>
      </c>
      <c r="F6" s="14"/>
      <c r="G6" s="13">
        <v>2</v>
      </c>
      <c r="H6" s="13">
        <v>5</v>
      </c>
      <c r="I6" s="13">
        <v>1</v>
      </c>
      <c r="J6" s="14"/>
      <c r="K6" s="15">
        <v>0.64</v>
      </c>
      <c r="M6" t="s">
        <v>55</v>
      </c>
      <c r="N6" s="17">
        <v>0.56666666666666665</v>
      </c>
      <c r="O6" s="17">
        <v>0.48</v>
      </c>
      <c r="P6" s="17">
        <v>0.52333333333333332</v>
      </c>
    </row>
    <row r="7" spans="1:16" x14ac:dyDescent="0.3">
      <c r="A7" s="12" t="s">
        <v>54</v>
      </c>
      <c r="B7" s="12" t="s">
        <v>55</v>
      </c>
      <c r="C7" s="12" t="s">
        <v>56</v>
      </c>
      <c r="D7" s="13">
        <v>60</v>
      </c>
      <c r="E7" s="13">
        <v>28</v>
      </c>
      <c r="F7" s="13">
        <v>1</v>
      </c>
      <c r="G7" s="13">
        <v>3</v>
      </c>
      <c r="H7" s="13">
        <v>1</v>
      </c>
      <c r="I7" s="13">
        <v>1</v>
      </c>
      <c r="J7" s="13">
        <v>3</v>
      </c>
      <c r="K7" s="15">
        <v>0.56666666666666665</v>
      </c>
      <c r="M7" t="s">
        <v>59</v>
      </c>
      <c r="N7" s="17">
        <v>0.67500000000000004</v>
      </c>
      <c r="O7" s="17">
        <v>0.69090909090909092</v>
      </c>
      <c r="P7" s="17">
        <v>0.68295454545454548</v>
      </c>
    </row>
    <row r="8" spans="1:16" x14ac:dyDescent="0.3">
      <c r="A8" s="12" t="s">
        <v>54</v>
      </c>
      <c r="B8" s="12" t="s">
        <v>55</v>
      </c>
      <c r="C8" s="12" t="s">
        <v>43</v>
      </c>
      <c r="D8" s="13">
        <v>50</v>
      </c>
      <c r="E8" s="13">
        <v>15</v>
      </c>
      <c r="F8" s="13">
        <v>2</v>
      </c>
      <c r="G8" s="13">
        <v>1</v>
      </c>
      <c r="H8" s="13">
        <v>2</v>
      </c>
      <c r="I8" s="13">
        <v>4</v>
      </c>
      <c r="J8" s="14"/>
      <c r="K8" s="15">
        <v>0.48</v>
      </c>
      <c r="M8" t="s">
        <v>67</v>
      </c>
      <c r="N8" s="17">
        <v>0.48571428571428571</v>
      </c>
      <c r="O8" s="17">
        <v>0.5714285714285714</v>
      </c>
      <c r="P8" s="17">
        <v>0.52857142857142858</v>
      </c>
    </row>
    <row r="9" spans="1:16" x14ac:dyDescent="0.3">
      <c r="A9" s="12" t="s">
        <v>54</v>
      </c>
      <c r="B9" s="12" t="s">
        <v>59</v>
      </c>
      <c r="C9" s="12" t="s">
        <v>56</v>
      </c>
      <c r="D9" s="13">
        <v>40</v>
      </c>
      <c r="E9" s="13">
        <v>21</v>
      </c>
      <c r="F9" s="14"/>
      <c r="G9" s="13">
        <v>3</v>
      </c>
      <c r="H9" s="13">
        <v>1</v>
      </c>
      <c r="I9" s="13">
        <v>2</v>
      </c>
      <c r="J9" s="13">
        <v>4</v>
      </c>
      <c r="K9" s="15">
        <v>0.67500000000000004</v>
      </c>
      <c r="M9" t="s">
        <v>65</v>
      </c>
      <c r="N9" s="17">
        <v>0.72</v>
      </c>
      <c r="O9" s="17">
        <v>0.50980392156862742</v>
      </c>
      <c r="P9" s="17">
        <v>0.61490196078431369</v>
      </c>
    </row>
    <row r="10" spans="1:16" x14ac:dyDescent="0.3">
      <c r="A10" s="12" t="s">
        <v>54</v>
      </c>
      <c r="B10" s="12" t="s">
        <v>59</v>
      </c>
      <c r="C10" s="12" t="s">
        <v>43</v>
      </c>
      <c r="D10" s="13">
        <v>55</v>
      </c>
      <c r="E10" s="13">
        <v>32</v>
      </c>
      <c r="F10" s="13">
        <v>2</v>
      </c>
      <c r="G10" s="13">
        <v>1</v>
      </c>
      <c r="H10" s="13">
        <v>3</v>
      </c>
      <c r="I10" s="14"/>
      <c r="J10" s="14"/>
      <c r="K10" s="15">
        <v>0.69090909090909092</v>
      </c>
      <c r="M10" t="s">
        <v>72</v>
      </c>
      <c r="N10" s="17">
        <v>0.47499999999999998</v>
      </c>
      <c r="O10" s="17">
        <v>0.6</v>
      </c>
      <c r="P10" s="17">
        <v>0.53749999999999998</v>
      </c>
    </row>
    <row r="11" spans="1:16" x14ac:dyDescent="0.3">
      <c r="A11" s="12" t="s">
        <v>62</v>
      </c>
      <c r="B11" s="12" t="s">
        <v>67</v>
      </c>
      <c r="C11" s="12" t="s">
        <v>56</v>
      </c>
      <c r="D11" s="13">
        <v>70</v>
      </c>
      <c r="E11" s="13">
        <v>32</v>
      </c>
      <c r="F11" s="14"/>
      <c r="G11" s="13">
        <v>1</v>
      </c>
      <c r="H11" s="14"/>
      <c r="I11" s="13">
        <v>1</v>
      </c>
      <c r="J11" s="13">
        <v>2</v>
      </c>
      <c r="K11" s="15">
        <v>0.48571428571428571</v>
      </c>
      <c r="M11" t="s">
        <v>66</v>
      </c>
      <c r="N11" s="17">
        <v>0.42222222222222222</v>
      </c>
      <c r="O11" s="17">
        <v>0.66</v>
      </c>
      <c r="P11" s="17">
        <v>0.5411111111111111</v>
      </c>
    </row>
    <row r="12" spans="1:16" x14ac:dyDescent="0.3">
      <c r="A12" s="12" t="s">
        <v>62</v>
      </c>
      <c r="B12" s="12" t="s">
        <v>67</v>
      </c>
      <c r="C12" s="12" t="s">
        <v>43</v>
      </c>
      <c r="D12" s="13">
        <v>70</v>
      </c>
      <c r="E12" s="13">
        <v>36</v>
      </c>
      <c r="F12" s="14"/>
      <c r="G12" s="13">
        <v>3</v>
      </c>
      <c r="H12" s="14"/>
      <c r="I12" s="13">
        <v>1</v>
      </c>
      <c r="J12" s="14"/>
      <c r="K12" s="15">
        <v>0.5714285714285714</v>
      </c>
      <c r="M12" t="s">
        <v>60</v>
      </c>
      <c r="N12" s="17">
        <v>0.41818181818181815</v>
      </c>
      <c r="O12" s="17">
        <v>0.54761904761904767</v>
      </c>
      <c r="P12" s="17">
        <v>0.48290043290043294</v>
      </c>
    </row>
    <row r="13" spans="1:16" x14ac:dyDescent="0.3">
      <c r="A13" s="12" t="s">
        <v>62</v>
      </c>
      <c r="B13" s="12" t="s">
        <v>65</v>
      </c>
      <c r="C13" s="12" t="s">
        <v>56</v>
      </c>
      <c r="D13" s="13">
        <v>50</v>
      </c>
      <c r="E13" s="13">
        <v>26</v>
      </c>
      <c r="F13" s="13">
        <v>2</v>
      </c>
      <c r="G13" s="13">
        <v>4</v>
      </c>
      <c r="H13" s="14"/>
      <c r="I13" s="13">
        <v>4</v>
      </c>
      <c r="J13" s="13">
        <v>1</v>
      </c>
      <c r="K13" s="15">
        <v>0.72</v>
      </c>
      <c r="M13" t="s">
        <v>71</v>
      </c>
      <c r="N13" s="17">
        <v>0.8</v>
      </c>
      <c r="O13" s="17">
        <v>0.78333333333333333</v>
      </c>
      <c r="P13" s="17">
        <v>0.79166666666666674</v>
      </c>
    </row>
    <row r="14" spans="1:16" x14ac:dyDescent="0.3">
      <c r="A14" s="12" t="s">
        <v>62</v>
      </c>
      <c r="B14" s="12" t="s">
        <v>65</v>
      </c>
      <c r="C14" s="12" t="s">
        <v>43</v>
      </c>
      <c r="D14" s="13">
        <v>51</v>
      </c>
      <c r="E14" s="13">
        <v>21</v>
      </c>
      <c r="F14" s="13">
        <v>2</v>
      </c>
      <c r="G14" s="13">
        <v>1</v>
      </c>
      <c r="H14" s="14"/>
      <c r="I14" s="13">
        <v>2</v>
      </c>
      <c r="J14" s="14"/>
      <c r="K14" s="15">
        <v>0.50980392156862742</v>
      </c>
      <c r="M14" t="s">
        <v>57</v>
      </c>
      <c r="N14" s="17">
        <v>0.64444444444444449</v>
      </c>
      <c r="O14" s="17">
        <v>0.46</v>
      </c>
      <c r="P14" s="17">
        <v>0.55222222222222228</v>
      </c>
    </row>
    <row r="15" spans="1:16" x14ac:dyDescent="0.3">
      <c r="A15" s="12" t="s">
        <v>68</v>
      </c>
      <c r="B15" s="12" t="s">
        <v>72</v>
      </c>
      <c r="C15" s="12" t="s">
        <v>56</v>
      </c>
      <c r="D15" s="13">
        <v>40</v>
      </c>
      <c r="E15" s="13">
        <v>15</v>
      </c>
      <c r="F15" s="14"/>
      <c r="G15" s="13">
        <v>1</v>
      </c>
      <c r="H15" s="13">
        <v>2</v>
      </c>
      <c r="I15" s="13">
        <v>1</v>
      </c>
      <c r="J15" s="13">
        <v>3</v>
      </c>
      <c r="K15" s="15">
        <v>0.47499999999999998</v>
      </c>
      <c r="M15" t="s">
        <v>64</v>
      </c>
      <c r="N15" s="17">
        <v>0.53846153846153844</v>
      </c>
      <c r="O15" s="17">
        <v>0.75</v>
      </c>
      <c r="P15" s="17">
        <v>0.64423076923076916</v>
      </c>
    </row>
    <row r="16" spans="1:16" x14ac:dyDescent="0.3">
      <c r="A16" s="12" t="s">
        <v>68</v>
      </c>
      <c r="B16" s="12" t="s">
        <v>72</v>
      </c>
      <c r="C16" s="12" t="s">
        <v>43</v>
      </c>
      <c r="D16" s="13">
        <v>35</v>
      </c>
      <c r="E16" s="13">
        <v>13</v>
      </c>
      <c r="F16" s="14"/>
      <c r="G16" s="13">
        <v>2</v>
      </c>
      <c r="H16" s="13">
        <v>5</v>
      </c>
      <c r="I16" s="13">
        <v>1</v>
      </c>
      <c r="J16" s="14"/>
      <c r="K16" s="15">
        <v>0.6</v>
      </c>
      <c r="M16" t="s">
        <v>61</v>
      </c>
      <c r="N16" s="17">
        <v>0.93333333333333335</v>
      </c>
      <c r="O16" s="17">
        <v>0.85</v>
      </c>
      <c r="P16" s="17">
        <v>0.89166666666666661</v>
      </c>
    </row>
    <row r="17" spans="1:16" x14ac:dyDescent="0.3">
      <c r="A17" s="12" t="s">
        <v>62</v>
      </c>
      <c r="B17" s="12" t="s">
        <v>66</v>
      </c>
      <c r="C17" s="12" t="s">
        <v>56</v>
      </c>
      <c r="D17" s="13">
        <v>45</v>
      </c>
      <c r="E17" s="13">
        <v>15</v>
      </c>
      <c r="F17" s="14"/>
      <c r="G17" s="13">
        <v>2</v>
      </c>
      <c r="H17" s="14"/>
      <c r="I17" s="13">
        <v>2</v>
      </c>
      <c r="J17" s="13">
        <v>3</v>
      </c>
      <c r="K17" s="15">
        <v>0.42222222222222222</v>
      </c>
      <c r="M17" t="s">
        <v>58</v>
      </c>
      <c r="N17" s="17">
        <v>0.5714285714285714</v>
      </c>
      <c r="O17" s="17">
        <v>0.6</v>
      </c>
      <c r="P17" s="17">
        <v>0.58571428571428563</v>
      </c>
    </row>
    <row r="18" spans="1:16" x14ac:dyDescent="0.3">
      <c r="A18" s="12" t="s">
        <v>62</v>
      </c>
      <c r="B18" s="12" t="s">
        <v>66</v>
      </c>
      <c r="C18" s="12" t="s">
        <v>43</v>
      </c>
      <c r="D18" s="13">
        <v>50</v>
      </c>
      <c r="E18" s="13">
        <v>23</v>
      </c>
      <c r="F18" s="13">
        <v>1</v>
      </c>
      <c r="G18" s="13">
        <v>3</v>
      </c>
      <c r="H18" s="13">
        <v>4</v>
      </c>
      <c r="I18" s="13">
        <v>2</v>
      </c>
      <c r="J18" s="14"/>
      <c r="K18" s="15">
        <v>0.66</v>
      </c>
      <c r="M18" t="s">
        <v>63</v>
      </c>
      <c r="N18" s="17">
        <v>0.62</v>
      </c>
      <c r="O18" s="17">
        <v>0.73469387755102045</v>
      </c>
      <c r="P18" s="17">
        <v>0.67734693877551022</v>
      </c>
    </row>
    <row r="19" spans="1:16" x14ac:dyDescent="0.3">
      <c r="A19" s="12" t="s">
        <v>54</v>
      </c>
      <c r="B19" s="12" t="s">
        <v>60</v>
      </c>
      <c r="C19" s="12" t="s">
        <v>56</v>
      </c>
      <c r="D19" s="13">
        <v>55</v>
      </c>
      <c r="E19" s="13">
        <v>19</v>
      </c>
      <c r="F19" s="13">
        <v>1</v>
      </c>
      <c r="G19" s="13">
        <v>2</v>
      </c>
      <c r="H19" s="13">
        <v>1</v>
      </c>
      <c r="I19" s="14"/>
      <c r="J19" s="13">
        <v>2</v>
      </c>
      <c r="K19" s="15">
        <v>0.41818181818181815</v>
      </c>
      <c r="M19" t="s">
        <v>77</v>
      </c>
      <c r="N19" s="17">
        <v>0.60154871054871051</v>
      </c>
      <c r="O19" s="17">
        <v>0.63851918949397934</v>
      </c>
      <c r="P19" s="17">
        <v>0.62003395002134498</v>
      </c>
    </row>
    <row r="20" spans="1:16" x14ac:dyDescent="0.3">
      <c r="A20" s="12" t="s">
        <v>54</v>
      </c>
      <c r="B20" s="12" t="s">
        <v>60</v>
      </c>
      <c r="C20" s="12" t="s">
        <v>43</v>
      </c>
      <c r="D20" s="13">
        <v>42</v>
      </c>
      <c r="E20" s="13">
        <v>18</v>
      </c>
      <c r="F20" s="13">
        <v>2</v>
      </c>
      <c r="G20" s="14"/>
      <c r="H20" s="13">
        <v>2</v>
      </c>
      <c r="I20" s="13">
        <v>1</v>
      </c>
      <c r="J20" s="14"/>
      <c r="K20" s="15">
        <v>0.54761904761904767</v>
      </c>
    </row>
    <row r="21" spans="1:16" x14ac:dyDescent="0.3">
      <c r="A21" s="12" t="s">
        <v>68</v>
      </c>
      <c r="B21" s="12" t="s">
        <v>71</v>
      </c>
      <c r="C21" s="12" t="s">
        <v>56</v>
      </c>
      <c r="D21" s="13">
        <v>60</v>
      </c>
      <c r="E21" s="13">
        <v>39</v>
      </c>
      <c r="F21" s="13">
        <v>2</v>
      </c>
      <c r="G21" s="13">
        <v>1</v>
      </c>
      <c r="H21" s="13">
        <v>5</v>
      </c>
      <c r="I21" s="13">
        <v>1</v>
      </c>
      <c r="J21" s="13">
        <v>3</v>
      </c>
      <c r="K21" s="15">
        <v>0.8</v>
      </c>
    </row>
    <row r="22" spans="1:16" x14ac:dyDescent="0.3">
      <c r="A22" s="12" t="s">
        <v>68</v>
      </c>
      <c r="B22" s="12" t="s">
        <v>71</v>
      </c>
      <c r="C22" s="12" t="s">
        <v>43</v>
      </c>
      <c r="D22" s="13">
        <v>60</v>
      </c>
      <c r="E22" s="13">
        <v>29</v>
      </c>
      <c r="F22" s="13">
        <v>3</v>
      </c>
      <c r="G22" s="13">
        <v>1</v>
      </c>
      <c r="H22" s="13">
        <v>12</v>
      </c>
      <c r="I22" s="13">
        <v>2</v>
      </c>
      <c r="J22" s="14"/>
      <c r="K22" s="15">
        <v>0.78333333333333333</v>
      </c>
    </row>
    <row r="23" spans="1:16" x14ac:dyDescent="0.3">
      <c r="A23" s="12" t="s">
        <v>54</v>
      </c>
      <c r="B23" s="12" t="s">
        <v>57</v>
      </c>
      <c r="C23" s="12" t="s">
        <v>56</v>
      </c>
      <c r="D23" s="13">
        <v>45</v>
      </c>
      <c r="E23" s="13">
        <v>23</v>
      </c>
      <c r="F23" s="13">
        <v>4</v>
      </c>
      <c r="G23" s="14"/>
      <c r="H23" s="13">
        <v>1</v>
      </c>
      <c r="I23" s="13">
        <v>1</v>
      </c>
      <c r="J23" s="13">
        <v>2</v>
      </c>
      <c r="K23" s="15">
        <v>0.64444444444444449</v>
      </c>
    </row>
    <row r="24" spans="1:16" x14ac:dyDescent="0.3">
      <c r="A24" s="12" t="s">
        <v>54</v>
      </c>
      <c r="B24" s="12" t="s">
        <v>57</v>
      </c>
      <c r="C24" s="12" t="s">
        <v>43</v>
      </c>
      <c r="D24" s="13">
        <v>50</v>
      </c>
      <c r="E24" s="13">
        <v>13</v>
      </c>
      <c r="F24" s="13">
        <v>3</v>
      </c>
      <c r="G24" s="13">
        <v>3</v>
      </c>
      <c r="H24" s="13">
        <v>2</v>
      </c>
      <c r="I24" s="13">
        <v>2</v>
      </c>
      <c r="J24" s="14"/>
      <c r="K24" s="15">
        <v>0.46</v>
      </c>
    </row>
    <row r="25" spans="1:16" x14ac:dyDescent="0.3">
      <c r="A25" s="12" t="s">
        <v>62</v>
      </c>
      <c r="B25" s="12" t="s">
        <v>64</v>
      </c>
      <c r="C25" s="12" t="s">
        <v>56</v>
      </c>
      <c r="D25" s="13">
        <v>91</v>
      </c>
      <c r="E25" s="13">
        <v>45</v>
      </c>
      <c r="F25" s="13">
        <v>3</v>
      </c>
      <c r="G25" s="13">
        <v>1</v>
      </c>
      <c r="H25" s="14"/>
      <c r="I25" s="14"/>
      <c r="J25" s="13">
        <v>2</v>
      </c>
      <c r="K25" s="15">
        <v>0.53846153846153844</v>
      </c>
    </row>
    <row r="26" spans="1:16" x14ac:dyDescent="0.3">
      <c r="A26" s="12" t="s">
        <v>62</v>
      </c>
      <c r="B26" s="12" t="s">
        <v>64</v>
      </c>
      <c r="C26" s="12" t="s">
        <v>43</v>
      </c>
      <c r="D26" s="13">
        <v>52</v>
      </c>
      <c r="E26" s="13">
        <v>30</v>
      </c>
      <c r="F26" s="13">
        <v>5</v>
      </c>
      <c r="G26" s="13">
        <v>1</v>
      </c>
      <c r="H26" s="14"/>
      <c r="I26" s="13">
        <v>3</v>
      </c>
      <c r="J26" s="14"/>
      <c r="K26" s="15">
        <v>0.75</v>
      </c>
    </row>
    <row r="27" spans="1:16" x14ac:dyDescent="0.3">
      <c r="A27" s="12" t="s">
        <v>54</v>
      </c>
      <c r="B27" s="12" t="s">
        <v>61</v>
      </c>
      <c r="C27" s="12" t="s">
        <v>56</v>
      </c>
      <c r="D27" s="13">
        <v>45</v>
      </c>
      <c r="E27" s="13">
        <v>35</v>
      </c>
      <c r="F27" s="13">
        <v>3</v>
      </c>
      <c r="G27" s="14"/>
      <c r="H27" s="13">
        <v>4</v>
      </c>
      <c r="I27" s="14"/>
      <c r="J27" s="13">
        <v>1</v>
      </c>
      <c r="K27" s="15">
        <v>0.93333333333333335</v>
      </c>
    </row>
    <row r="28" spans="1:16" x14ac:dyDescent="0.3">
      <c r="A28" s="12" t="s">
        <v>54</v>
      </c>
      <c r="B28" s="12" t="s">
        <v>61</v>
      </c>
      <c r="C28" s="12" t="s">
        <v>43</v>
      </c>
      <c r="D28" s="13">
        <v>40</v>
      </c>
      <c r="E28" s="13">
        <v>25</v>
      </c>
      <c r="F28" s="13">
        <v>4</v>
      </c>
      <c r="G28" s="13">
        <v>1</v>
      </c>
      <c r="H28" s="13">
        <v>3</v>
      </c>
      <c r="I28" s="13">
        <v>1</v>
      </c>
      <c r="J28" s="14"/>
      <c r="K28" s="15">
        <v>0.85</v>
      </c>
    </row>
    <row r="29" spans="1:16" x14ac:dyDescent="0.3">
      <c r="A29" s="12" t="s">
        <v>54</v>
      </c>
      <c r="B29" s="12" t="s">
        <v>58</v>
      </c>
      <c r="C29" s="12" t="s">
        <v>56</v>
      </c>
      <c r="D29" s="13">
        <v>35</v>
      </c>
      <c r="E29" s="13">
        <v>15</v>
      </c>
      <c r="F29" s="14"/>
      <c r="G29" s="13">
        <v>1</v>
      </c>
      <c r="H29" s="13">
        <v>1</v>
      </c>
      <c r="I29" s="13">
        <v>3</v>
      </c>
      <c r="J29" s="13">
        <v>3</v>
      </c>
      <c r="K29" s="15">
        <v>0.5714285714285714</v>
      </c>
    </row>
    <row r="30" spans="1:16" x14ac:dyDescent="0.3">
      <c r="A30" s="12" t="s">
        <v>54</v>
      </c>
      <c r="B30" s="12" t="s">
        <v>58</v>
      </c>
      <c r="C30" s="12" t="s">
        <v>43</v>
      </c>
      <c r="D30" s="13">
        <v>25</v>
      </c>
      <c r="E30" s="13">
        <v>11</v>
      </c>
      <c r="F30" s="14"/>
      <c r="G30" s="14"/>
      <c r="H30" s="14"/>
      <c r="I30" s="13">
        <v>4</v>
      </c>
      <c r="J30" s="14"/>
      <c r="K30" s="15">
        <v>0.6</v>
      </c>
    </row>
    <row r="31" spans="1:16" x14ac:dyDescent="0.3">
      <c r="A31" s="12" t="s">
        <v>62</v>
      </c>
      <c r="B31" s="12" t="s">
        <v>63</v>
      </c>
      <c r="C31" s="12" t="s">
        <v>56</v>
      </c>
      <c r="D31" s="13">
        <v>50</v>
      </c>
      <c r="E31" s="13">
        <v>26</v>
      </c>
      <c r="F31" s="13">
        <v>2</v>
      </c>
      <c r="G31" s="13">
        <v>1</v>
      </c>
      <c r="H31" s="14"/>
      <c r="I31" s="13">
        <v>2</v>
      </c>
      <c r="J31" s="13">
        <v>3</v>
      </c>
      <c r="K31" s="15">
        <v>0.62</v>
      </c>
    </row>
    <row r="32" spans="1:16" x14ac:dyDescent="0.3">
      <c r="A32" s="12" t="s">
        <v>62</v>
      </c>
      <c r="B32" s="12" t="s">
        <v>63</v>
      </c>
      <c r="C32" s="12" t="s">
        <v>43</v>
      </c>
      <c r="D32" s="13">
        <v>49</v>
      </c>
      <c r="E32" s="13">
        <v>32</v>
      </c>
      <c r="F32" s="14"/>
      <c r="G32" s="13">
        <v>3</v>
      </c>
      <c r="H32" s="14"/>
      <c r="I32" s="13">
        <v>1</v>
      </c>
      <c r="J32" s="14"/>
      <c r="K32" s="15">
        <v>0.73469387755102045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K37"/>
  <sheetViews>
    <sheetView workbookViewId="0"/>
  </sheetViews>
  <sheetFormatPr defaultRowHeight="16.5" outlineLevelRow="2" x14ac:dyDescent="0.3"/>
  <cols>
    <col min="1" max="2" width="13" bestFit="1" customWidth="1"/>
    <col min="3" max="3" width="9.375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8" max="8" width="9" bestFit="1" customWidth="1"/>
    <col min="9" max="11" width="7.125" bestFit="1" customWidth="1"/>
  </cols>
  <sheetData>
    <row r="3" spans="1:11" x14ac:dyDescent="0.3">
      <c r="A3" t="s">
        <v>76</v>
      </c>
    </row>
    <row r="4" spans="1:11" x14ac:dyDescent="0.3">
      <c r="A4" s="11" t="s">
        <v>45</v>
      </c>
      <c r="B4" s="11" t="s">
        <v>46</v>
      </c>
      <c r="C4" s="11" t="s">
        <v>42</v>
      </c>
      <c r="D4" s="11" t="s">
        <v>47</v>
      </c>
      <c r="E4" s="11" t="s">
        <v>48</v>
      </c>
      <c r="F4" s="11" t="s">
        <v>49</v>
      </c>
      <c r="G4" s="11" t="s">
        <v>50</v>
      </c>
      <c r="H4" s="11" t="s">
        <v>51</v>
      </c>
      <c r="I4" s="11" t="s">
        <v>52</v>
      </c>
      <c r="J4" s="11" t="s">
        <v>53</v>
      </c>
      <c r="K4" s="11" t="s">
        <v>44</v>
      </c>
    </row>
    <row r="5" spans="1:11" outlineLevel="2" x14ac:dyDescent="0.3">
      <c r="A5" s="12" t="s">
        <v>54</v>
      </c>
      <c r="B5" s="12" t="s">
        <v>61</v>
      </c>
      <c r="C5" s="12" t="s">
        <v>56</v>
      </c>
      <c r="D5" s="13">
        <v>45</v>
      </c>
      <c r="E5" s="13">
        <v>35</v>
      </c>
      <c r="F5" s="13">
        <v>3</v>
      </c>
      <c r="G5" s="14"/>
      <c r="H5" s="13">
        <v>4</v>
      </c>
      <c r="I5" s="14"/>
      <c r="J5" s="13">
        <v>1</v>
      </c>
      <c r="K5" s="15">
        <v>0.93333333333333335</v>
      </c>
    </row>
    <row r="6" spans="1:11" outlineLevel="2" x14ac:dyDescent="0.3">
      <c r="A6" s="12" t="s">
        <v>68</v>
      </c>
      <c r="B6" s="12" t="s">
        <v>71</v>
      </c>
      <c r="C6" s="12" t="s">
        <v>56</v>
      </c>
      <c r="D6" s="13">
        <v>60</v>
      </c>
      <c r="E6" s="13">
        <v>39</v>
      </c>
      <c r="F6" s="13">
        <v>2</v>
      </c>
      <c r="G6" s="13">
        <v>1</v>
      </c>
      <c r="H6" s="13">
        <v>5</v>
      </c>
      <c r="I6" s="13">
        <v>1</v>
      </c>
      <c r="J6" s="13">
        <v>3</v>
      </c>
      <c r="K6" s="15">
        <v>0.8</v>
      </c>
    </row>
    <row r="7" spans="1:11" outlineLevel="2" x14ac:dyDescent="0.3">
      <c r="A7" s="12" t="s">
        <v>62</v>
      </c>
      <c r="B7" s="12" t="s">
        <v>65</v>
      </c>
      <c r="C7" s="12" t="s">
        <v>56</v>
      </c>
      <c r="D7" s="13">
        <v>50</v>
      </c>
      <c r="E7" s="13">
        <v>26</v>
      </c>
      <c r="F7" s="13">
        <v>2</v>
      </c>
      <c r="G7" s="13">
        <v>4</v>
      </c>
      <c r="H7" s="14"/>
      <c r="I7" s="13">
        <v>4</v>
      </c>
      <c r="J7" s="13">
        <v>1</v>
      </c>
      <c r="K7" s="15">
        <v>0.72</v>
      </c>
    </row>
    <row r="8" spans="1:11" outlineLevel="2" x14ac:dyDescent="0.3">
      <c r="A8" s="12" t="s">
        <v>54</v>
      </c>
      <c r="B8" s="12" t="s">
        <v>59</v>
      </c>
      <c r="C8" s="12" t="s">
        <v>56</v>
      </c>
      <c r="D8" s="13">
        <v>40</v>
      </c>
      <c r="E8" s="13">
        <v>21</v>
      </c>
      <c r="F8" s="14"/>
      <c r="G8" s="13">
        <v>3</v>
      </c>
      <c r="H8" s="13">
        <v>1</v>
      </c>
      <c r="I8" s="13">
        <v>2</v>
      </c>
      <c r="J8" s="13">
        <v>4</v>
      </c>
      <c r="K8" s="15">
        <v>0.67500000000000004</v>
      </c>
    </row>
    <row r="9" spans="1:11" outlineLevel="2" x14ac:dyDescent="0.3">
      <c r="A9" s="12" t="s">
        <v>54</v>
      </c>
      <c r="B9" s="12" t="s">
        <v>57</v>
      </c>
      <c r="C9" s="12" t="s">
        <v>56</v>
      </c>
      <c r="D9" s="13">
        <v>45</v>
      </c>
      <c r="E9" s="13">
        <v>23</v>
      </c>
      <c r="F9" s="13">
        <v>4</v>
      </c>
      <c r="G9" s="14"/>
      <c r="H9" s="13">
        <v>1</v>
      </c>
      <c r="I9" s="13">
        <v>1</v>
      </c>
      <c r="J9" s="13">
        <v>2</v>
      </c>
      <c r="K9" s="15">
        <v>0.64444444444444449</v>
      </c>
    </row>
    <row r="10" spans="1:11" outlineLevel="2" x14ac:dyDescent="0.3">
      <c r="A10" s="12" t="s">
        <v>62</v>
      </c>
      <c r="B10" s="12" t="s">
        <v>63</v>
      </c>
      <c r="C10" s="12" t="s">
        <v>56</v>
      </c>
      <c r="D10" s="13">
        <v>50</v>
      </c>
      <c r="E10" s="13">
        <v>26</v>
      </c>
      <c r="F10" s="13">
        <v>2</v>
      </c>
      <c r="G10" s="13">
        <v>1</v>
      </c>
      <c r="H10" s="14"/>
      <c r="I10" s="13">
        <v>2</v>
      </c>
      <c r="J10" s="13">
        <v>3</v>
      </c>
      <c r="K10" s="15">
        <v>0.62</v>
      </c>
    </row>
    <row r="11" spans="1:11" outlineLevel="2" x14ac:dyDescent="0.3">
      <c r="A11" s="12" t="s">
        <v>68</v>
      </c>
      <c r="B11" s="12" t="s">
        <v>70</v>
      </c>
      <c r="C11" s="12" t="s">
        <v>56</v>
      </c>
      <c r="D11" s="13">
        <v>45</v>
      </c>
      <c r="E11" s="13">
        <v>21</v>
      </c>
      <c r="F11" s="14"/>
      <c r="G11" s="14"/>
      <c r="H11" s="13">
        <v>4</v>
      </c>
      <c r="I11" s="13">
        <v>1</v>
      </c>
      <c r="J11" s="13">
        <v>1</v>
      </c>
      <c r="K11" s="15">
        <v>0.57777777777777772</v>
      </c>
    </row>
    <row r="12" spans="1:11" outlineLevel="2" x14ac:dyDescent="0.3">
      <c r="A12" s="12" t="s">
        <v>68</v>
      </c>
      <c r="B12" s="12" t="s">
        <v>69</v>
      </c>
      <c r="C12" s="12" t="s">
        <v>56</v>
      </c>
      <c r="D12" s="13">
        <v>40</v>
      </c>
      <c r="E12" s="13">
        <v>19</v>
      </c>
      <c r="F12" s="14"/>
      <c r="G12" s="13">
        <v>1</v>
      </c>
      <c r="H12" s="13">
        <v>1</v>
      </c>
      <c r="I12" s="13">
        <v>2</v>
      </c>
      <c r="J12" s="13">
        <v>5</v>
      </c>
      <c r="K12" s="15">
        <v>0.57499999999999996</v>
      </c>
    </row>
    <row r="13" spans="1:11" outlineLevel="2" x14ac:dyDescent="0.3">
      <c r="A13" s="12" t="s">
        <v>54</v>
      </c>
      <c r="B13" s="12" t="s">
        <v>58</v>
      </c>
      <c r="C13" s="12" t="s">
        <v>56</v>
      </c>
      <c r="D13" s="13">
        <v>35</v>
      </c>
      <c r="E13" s="13">
        <v>15</v>
      </c>
      <c r="F13" s="14"/>
      <c r="G13" s="13">
        <v>1</v>
      </c>
      <c r="H13" s="13">
        <v>1</v>
      </c>
      <c r="I13" s="13">
        <v>3</v>
      </c>
      <c r="J13" s="13">
        <v>3</v>
      </c>
      <c r="K13" s="15">
        <v>0.5714285714285714</v>
      </c>
    </row>
    <row r="14" spans="1:11" outlineLevel="2" x14ac:dyDescent="0.3">
      <c r="A14" s="12" t="s">
        <v>54</v>
      </c>
      <c r="B14" s="12" t="s">
        <v>55</v>
      </c>
      <c r="C14" s="12" t="s">
        <v>56</v>
      </c>
      <c r="D14" s="13">
        <v>60</v>
      </c>
      <c r="E14" s="13">
        <v>28</v>
      </c>
      <c r="F14" s="13">
        <v>1</v>
      </c>
      <c r="G14" s="13">
        <v>3</v>
      </c>
      <c r="H14" s="13">
        <v>1</v>
      </c>
      <c r="I14" s="13">
        <v>1</v>
      </c>
      <c r="J14" s="13">
        <v>3</v>
      </c>
      <c r="K14" s="15">
        <v>0.56666666666666665</v>
      </c>
    </row>
    <row r="15" spans="1:11" outlineLevel="2" x14ac:dyDescent="0.3">
      <c r="A15" s="12" t="s">
        <v>62</v>
      </c>
      <c r="B15" s="12" t="s">
        <v>64</v>
      </c>
      <c r="C15" s="12" t="s">
        <v>56</v>
      </c>
      <c r="D15" s="13">
        <v>91</v>
      </c>
      <c r="E15" s="13">
        <v>45</v>
      </c>
      <c r="F15" s="13">
        <v>3</v>
      </c>
      <c r="G15" s="13">
        <v>1</v>
      </c>
      <c r="H15" s="14"/>
      <c r="I15" s="14"/>
      <c r="J15" s="13">
        <v>2</v>
      </c>
      <c r="K15" s="15">
        <v>0.53846153846153844</v>
      </c>
    </row>
    <row r="16" spans="1:11" outlineLevel="2" x14ac:dyDescent="0.3">
      <c r="A16" s="12" t="s">
        <v>62</v>
      </c>
      <c r="B16" s="12" t="s">
        <v>67</v>
      </c>
      <c r="C16" s="12" t="s">
        <v>56</v>
      </c>
      <c r="D16" s="13">
        <v>70</v>
      </c>
      <c r="E16" s="13">
        <v>32</v>
      </c>
      <c r="F16" s="14"/>
      <c r="G16" s="13">
        <v>1</v>
      </c>
      <c r="H16" s="14"/>
      <c r="I16" s="13">
        <v>1</v>
      </c>
      <c r="J16" s="13">
        <v>2</v>
      </c>
      <c r="K16" s="15">
        <v>0.48571428571428571</v>
      </c>
    </row>
    <row r="17" spans="1:11" outlineLevel="2" x14ac:dyDescent="0.3">
      <c r="A17" s="12" t="s">
        <v>68</v>
      </c>
      <c r="B17" s="12" t="s">
        <v>72</v>
      </c>
      <c r="C17" s="12" t="s">
        <v>56</v>
      </c>
      <c r="D17" s="13">
        <v>40</v>
      </c>
      <c r="E17" s="13">
        <v>15</v>
      </c>
      <c r="F17" s="14"/>
      <c r="G17" s="13">
        <v>1</v>
      </c>
      <c r="H17" s="13">
        <v>2</v>
      </c>
      <c r="I17" s="13">
        <v>1</v>
      </c>
      <c r="J17" s="13">
        <v>3</v>
      </c>
      <c r="K17" s="15">
        <v>0.47499999999999998</v>
      </c>
    </row>
    <row r="18" spans="1:11" outlineLevel="2" x14ac:dyDescent="0.3">
      <c r="A18" s="12" t="s">
        <v>62</v>
      </c>
      <c r="B18" s="12" t="s">
        <v>66</v>
      </c>
      <c r="C18" s="12" t="s">
        <v>56</v>
      </c>
      <c r="D18" s="13">
        <v>45</v>
      </c>
      <c r="E18" s="13">
        <v>15</v>
      </c>
      <c r="F18" s="14"/>
      <c r="G18" s="13">
        <v>2</v>
      </c>
      <c r="H18" s="14"/>
      <c r="I18" s="13">
        <v>2</v>
      </c>
      <c r="J18" s="13">
        <v>3</v>
      </c>
      <c r="K18" s="15">
        <v>0.42222222222222222</v>
      </c>
    </row>
    <row r="19" spans="1:11" outlineLevel="2" x14ac:dyDescent="0.3">
      <c r="A19" s="12" t="s">
        <v>54</v>
      </c>
      <c r="B19" s="12" t="s">
        <v>60</v>
      </c>
      <c r="C19" s="12" t="s">
        <v>56</v>
      </c>
      <c r="D19" s="13">
        <v>55</v>
      </c>
      <c r="E19" s="13">
        <v>19</v>
      </c>
      <c r="F19" s="13">
        <v>1</v>
      </c>
      <c r="G19" s="13">
        <v>2</v>
      </c>
      <c r="H19" s="13">
        <v>1</v>
      </c>
      <c r="I19" s="14"/>
      <c r="J19" s="13">
        <v>2</v>
      </c>
      <c r="K19" s="15">
        <v>0.41818181818181815</v>
      </c>
    </row>
    <row r="20" spans="1:11" outlineLevel="1" x14ac:dyDescent="0.3">
      <c r="A20" s="12"/>
      <c r="B20" s="12"/>
      <c r="C20" s="26" t="s">
        <v>79</v>
      </c>
      <c r="D20" s="13"/>
      <c r="E20" s="13"/>
      <c r="F20" s="13"/>
      <c r="G20" s="13"/>
      <c r="H20" s="13"/>
      <c r="I20" s="14"/>
      <c r="J20" s="13"/>
      <c r="K20" s="15">
        <f>SUBTOTAL(1,K5:K19)</f>
        <v>0.60154871054871051</v>
      </c>
    </row>
    <row r="21" spans="1:11" outlineLevel="2" x14ac:dyDescent="0.3">
      <c r="A21" s="12" t="s">
        <v>54</v>
      </c>
      <c r="B21" s="12" t="s">
        <v>61</v>
      </c>
      <c r="C21" s="12" t="s">
        <v>43</v>
      </c>
      <c r="D21" s="13">
        <v>40</v>
      </c>
      <c r="E21" s="13">
        <v>25</v>
      </c>
      <c r="F21" s="13">
        <v>4</v>
      </c>
      <c r="G21" s="13">
        <v>1</v>
      </c>
      <c r="H21" s="13">
        <v>3</v>
      </c>
      <c r="I21" s="13">
        <v>1</v>
      </c>
      <c r="J21" s="14"/>
      <c r="K21" s="15">
        <v>0.85</v>
      </c>
    </row>
    <row r="22" spans="1:11" outlineLevel="2" x14ac:dyDescent="0.3">
      <c r="A22" s="12" t="s">
        <v>68</v>
      </c>
      <c r="B22" s="12" t="s">
        <v>71</v>
      </c>
      <c r="C22" s="12" t="s">
        <v>43</v>
      </c>
      <c r="D22" s="13">
        <v>60</v>
      </c>
      <c r="E22" s="13">
        <v>29</v>
      </c>
      <c r="F22" s="13">
        <v>3</v>
      </c>
      <c r="G22" s="13">
        <v>1</v>
      </c>
      <c r="H22" s="13">
        <v>12</v>
      </c>
      <c r="I22" s="13">
        <v>2</v>
      </c>
      <c r="J22" s="14"/>
      <c r="K22" s="15">
        <v>0.78333333333333333</v>
      </c>
    </row>
    <row r="23" spans="1:11" outlineLevel="2" x14ac:dyDescent="0.3">
      <c r="A23" s="12" t="s">
        <v>62</v>
      </c>
      <c r="B23" s="12" t="s">
        <v>64</v>
      </c>
      <c r="C23" s="12" t="s">
        <v>43</v>
      </c>
      <c r="D23" s="13">
        <v>52</v>
      </c>
      <c r="E23" s="13">
        <v>30</v>
      </c>
      <c r="F23" s="13">
        <v>5</v>
      </c>
      <c r="G23" s="13">
        <v>1</v>
      </c>
      <c r="H23" s="14"/>
      <c r="I23" s="13">
        <v>3</v>
      </c>
      <c r="J23" s="14"/>
      <c r="K23" s="15">
        <v>0.75</v>
      </c>
    </row>
    <row r="24" spans="1:11" outlineLevel="2" x14ac:dyDescent="0.3">
      <c r="A24" s="12" t="s">
        <v>62</v>
      </c>
      <c r="B24" s="12" t="s">
        <v>63</v>
      </c>
      <c r="C24" s="12" t="s">
        <v>43</v>
      </c>
      <c r="D24" s="13">
        <v>49</v>
      </c>
      <c r="E24" s="13">
        <v>32</v>
      </c>
      <c r="F24" s="14"/>
      <c r="G24" s="13">
        <v>3</v>
      </c>
      <c r="H24" s="14"/>
      <c r="I24" s="13">
        <v>1</v>
      </c>
      <c r="J24" s="14"/>
      <c r="K24" s="15">
        <v>0.73469387755102045</v>
      </c>
    </row>
    <row r="25" spans="1:11" outlineLevel="2" x14ac:dyDescent="0.3">
      <c r="A25" s="12" t="s">
        <v>68</v>
      </c>
      <c r="B25" s="12" t="s">
        <v>69</v>
      </c>
      <c r="C25" s="12" t="s">
        <v>43</v>
      </c>
      <c r="D25" s="13">
        <v>50</v>
      </c>
      <c r="E25" s="13">
        <v>23</v>
      </c>
      <c r="F25" s="13">
        <v>1</v>
      </c>
      <c r="G25" s="13">
        <v>1</v>
      </c>
      <c r="H25" s="13">
        <v>7</v>
      </c>
      <c r="I25" s="13">
        <v>3</v>
      </c>
      <c r="J25" s="14"/>
      <c r="K25" s="15">
        <v>0.7</v>
      </c>
    </row>
    <row r="26" spans="1:11" outlineLevel="2" x14ac:dyDescent="0.3">
      <c r="A26" s="12" t="s">
        <v>54</v>
      </c>
      <c r="B26" s="12" t="s">
        <v>59</v>
      </c>
      <c r="C26" s="12" t="s">
        <v>43</v>
      </c>
      <c r="D26" s="13">
        <v>55</v>
      </c>
      <c r="E26" s="13">
        <v>32</v>
      </c>
      <c r="F26" s="13">
        <v>2</v>
      </c>
      <c r="G26" s="13">
        <v>1</v>
      </c>
      <c r="H26" s="13">
        <v>3</v>
      </c>
      <c r="I26" s="14"/>
      <c r="J26" s="14"/>
      <c r="K26" s="15">
        <v>0.69090909090909092</v>
      </c>
    </row>
    <row r="27" spans="1:11" outlineLevel="2" x14ac:dyDescent="0.3">
      <c r="A27" s="12" t="s">
        <v>62</v>
      </c>
      <c r="B27" s="12" t="s">
        <v>66</v>
      </c>
      <c r="C27" s="12" t="s">
        <v>43</v>
      </c>
      <c r="D27" s="13">
        <v>50</v>
      </c>
      <c r="E27" s="13">
        <v>23</v>
      </c>
      <c r="F27" s="13">
        <v>1</v>
      </c>
      <c r="G27" s="13">
        <v>3</v>
      </c>
      <c r="H27" s="13">
        <v>4</v>
      </c>
      <c r="I27" s="13">
        <v>2</v>
      </c>
      <c r="J27" s="14"/>
      <c r="K27" s="15">
        <v>0.66</v>
      </c>
    </row>
    <row r="28" spans="1:11" outlineLevel="2" x14ac:dyDescent="0.3">
      <c r="A28" s="12" t="s">
        <v>68</v>
      </c>
      <c r="B28" s="12" t="s">
        <v>70</v>
      </c>
      <c r="C28" s="12" t="s">
        <v>43</v>
      </c>
      <c r="D28" s="13">
        <v>50</v>
      </c>
      <c r="E28" s="13">
        <v>24</v>
      </c>
      <c r="F28" s="14"/>
      <c r="G28" s="13">
        <v>2</v>
      </c>
      <c r="H28" s="13">
        <v>5</v>
      </c>
      <c r="I28" s="13">
        <v>1</v>
      </c>
      <c r="J28" s="14"/>
      <c r="K28" s="15">
        <v>0.64</v>
      </c>
    </row>
    <row r="29" spans="1:11" outlineLevel="2" x14ac:dyDescent="0.3">
      <c r="A29" s="12" t="s">
        <v>68</v>
      </c>
      <c r="B29" s="12" t="s">
        <v>72</v>
      </c>
      <c r="C29" s="12" t="s">
        <v>43</v>
      </c>
      <c r="D29" s="13">
        <v>35</v>
      </c>
      <c r="E29" s="13">
        <v>13</v>
      </c>
      <c r="F29" s="14"/>
      <c r="G29" s="13">
        <v>2</v>
      </c>
      <c r="H29" s="13">
        <v>5</v>
      </c>
      <c r="I29" s="13">
        <v>1</v>
      </c>
      <c r="J29" s="14"/>
      <c r="K29" s="15">
        <v>0.6</v>
      </c>
    </row>
    <row r="30" spans="1:11" outlineLevel="2" x14ac:dyDescent="0.3">
      <c r="A30" s="12" t="s">
        <v>54</v>
      </c>
      <c r="B30" s="12" t="s">
        <v>58</v>
      </c>
      <c r="C30" s="12" t="s">
        <v>43</v>
      </c>
      <c r="D30" s="13">
        <v>25</v>
      </c>
      <c r="E30" s="13">
        <v>11</v>
      </c>
      <c r="F30" s="14"/>
      <c r="G30" s="14"/>
      <c r="H30" s="14"/>
      <c r="I30" s="13">
        <v>4</v>
      </c>
      <c r="J30" s="14"/>
      <c r="K30" s="15">
        <v>0.6</v>
      </c>
    </row>
    <row r="31" spans="1:11" outlineLevel="2" x14ac:dyDescent="0.3">
      <c r="A31" s="12" t="s">
        <v>62</v>
      </c>
      <c r="B31" s="12" t="s">
        <v>67</v>
      </c>
      <c r="C31" s="12" t="s">
        <v>43</v>
      </c>
      <c r="D31" s="13">
        <v>70</v>
      </c>
      <c r="E31" s="13">
        <v>36</v>
      </c>
      <c r="F31" s="14"/>
      <c r="G31" s="13">
        <v>3</v>
      </c>
      <c r="H31" s="14"/>
      <c r="I31" s="13">
        <v>1</v>
      </c>
      <c r="J31" s="14"/>
      <c r="K31" s="15">
        <v>0.5714285714285714</v>
      </c>
    </row>
    <row r="32" spans="1:11" outlineLevel="2" x14ac:dyDescent="0.3">
      <c r="A32" s="12" t="s">
        <v>54</v>
      </c>
      <c r="B32" s="12" t="s">
        <v>60</v>
      </c>
      <c r="C32" s="12" t="s">
        <v>43</v>
      </c>
      <c r="D32" s="13">
        <v>42</v>
      </c>
      <c r="E32" s="13">
        <v>18</v>
      </c>
      <c r="F32" s="13">
        <v>2</v>
      </c>
      <c r="G32" s="14"/>
      <c r="H32" s="13">
        <v>2</v>
      </c>
      <c r="I32" s="13">
        <v>1</v>
      </c>
      <c r="J32" s="14"/>
      <c r="K32" s="15">
        <v>0.54761904761904767</v>
      </c>
    </row>
    <row r="33" spans="1:11" outlineLevel="2" x14ac:dyDescent="0.3">
      <c r="A33" s="12" t="s">
        <v>62</v>
      </c>
      <c r="B33" s="12" t="s">
        <v>65</v>
      </c>
      <c r="C33" s="12" t="s">
        <v>43</v>
      </c>
      <c r="D33" s="13">
        <v>51</v>
      </c>
      <c r="E33" s="13">
        <v>21</v>
      </c>
      <c r="F33" s="13">
        <v>2</v>
      </c>
      <c r="G33" s="13">
        <v>1</v>
      </c>
      <c r="H33" s="14"/>
      <c r="I33" s="13">
        <v>2</v>
      </c>
      <c r="J33" s="14"/>
      <c r="K33" s="15">
        <v>0.50980392156862742</v>
      </c>
    </row>
    <row r="34" spans="1:11" outlineLevel="2" x14ac:dyDescent="0.3">
      <c r="A34" s="12" t="s">
        <v>54</v>
      </c>
      <c r="B34" s="12" t="s">
        <v>55</v>
      </c>
      <c r="C34" s="12" t="s">
        <v>43</v>
      </c>
      <c r="D34" s="13">
        <v>50</v>
      </c>
      <c r="E34" s="13">
        <v>15</v>
      </c>
      <c r="F34" s="13">
        <v>2</v>
      </c>
      <c r="G34" s="13">
        <v>1</v>
      </c>
      <c r="H34" s="13">
        <v>2</v>
      </c>
      <c r="I34" s="13">
        <v>4</v>
      </c>
      <c r="J34" s="14"/>
      <c r="K34" s="15">
        <v>0.48</v>
      </c>
    </row>
    <row r="35" spans="1:11" outlineLevel="2" x14ac:dyDescent="0.3">
      <c r="A35" s="12" t="s">
        <v>54</v>
      </c>
      <c r="B35" s="12" t="s">
        <v>57</v>
      </c>
      <c r="C35" s="12" t="s">
        <v>43</v>
      </c>
      <c r="D35" s="13">
        <v>50</v>
      </c>
      <c r="E35" s="13">
        <v>13</v>
      </c>
      <c r="F35" s="13">
        <v>3</v>
      </c>
      <c r="G35" s="13">
        <v>3</v>
      </c>
      <c r="H35" s="13">
        <v>2</v>
      </c>
      <c r="I35" s="13">
        <v>2</v>
      </c>
      <c r="J35" s="14"/>
      <c r="K35" s="15">
        <v>0.46</v>
      </c>
    </row>
    <row r="36" spans="1:11" outlineLevel="1" x14ac:dyDescent="0.3">
      <c r="A36" s="18"/>
      <c r="B36" s="18"/>
      <c r="C36" s="22" t="s">
        <v>80</v>
      </c>
      <c r="D36" s="19"/>
      <c r="E36" s="19"/>
      <c r="F36" s="19"/>
      <c r="G36" s="19"/>
      <c r="H36" s="19"/>
      <c r="I36" s="19"/>
      <c r="J36" s="20"/>
      <c r="K36" s="21">
        <f>SUBTOTAL(1,K21:K35)</f>
        <v>0.63851918949397946</v>
      </c>
    </row>
    <row r="37" spans="1:11" x14ac:dyDescent="0.3">
      <c r="A37" s="18"/>
      <c r="B37" s="18"/>
      <c r="C37" s="22" t="s">
        <v>81</v>
      </c>
      <c r="D37" s="19"/>
      <c r="E37" s="19"/>
      <c r="F37" s="19"/>
      <c r="G37" s="19"/>
      <c r="H37" s="19"/>
      <c r="I37" s="19"/>
      <c r="J37" s="20"/>
      <c r="K37" s="21">
        <f>SUBTOTAL(1,K5:K35)</f>
        <v>0.62003395002134509</v>
      </c>
    </row>
  </sheetData>
  <sortState ref="A5:K34">
    <sortCondition ref="C5:C34"/>
    <sortCondition descending="1" ref="K5:K34"/>
  </sortState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9"/>
  <sheetViews>
    <sheetView workbookViewId="0"/>
  </sheetViews>
  <sheetFormatPr defaultRowHeight="16.5" x14ac:dyDescent="0.3"/>
  <cols>
    <col min="1" max="1" width="17.875" bestFit="1" customWidth="1"/>
    <col min="3" max="3" width="13" bestFit="1" customWidth="1"/>
  </cols>
  <sheetData>
    <row r="1" spans="1:8" x14ac:dyDescent="0.3">
      <c r="A1" t="s">
        <v>88</v>
      </c>
    </row>
    <row r="3" spans="1:8" x14ac:dyDescent="0.3">
      <c r="A3" s="3" t="s">
        <v>46</v>
      </c>
      <c r="B3" s="3" t="s">
        <v>47</v>
      </c>
      <c r="C3" s="3" t="s">
        <v>48</v>
      </c>
      <c r="D3" s="3" t="s">
        <v>50</v>
      </c>
      <c r="E3" s="3" t="s">
        <v>51</v>
      </c>
      <c r="F3" s="3" t="s">
        <v>52</v>
      </c>
      <c r="G3" s="3" t="s">
        <v>53</v>
      </c>
      <c r="H3" s="3" t="s">
        <v>44</v>
      </c>
    </row>
    <row r="4" spans="1:8" x14ac:dyDescent="0.3">
      <c r="A4" s="2" t="s">
        <v>82</v>
      </c>
      <c r="B4" s="2">
        <v>55</v>
      </c>
      <c r="C4" s="2">
        <v>21</v>
      </c>
      <c r="D4" s="2">
        <v>2</v>
      </c>
      <c r="E4" s="2">
        <v>1</v>
      </c>
      <c r="F4" s="2">
        <v>2</v>
      </c>
      <c r="G4" s="2">
        <v>3</v>
      </c>
      <c r="H4" s="9">
        <v>0.52</v>
      </c>
    </row>
    <row r="5" spans="1:8" x14ac:dyDescent="0.3">
      <c r="A5" s="2" t="s">
        <v>83</v>
      </c>
      <c r="B5" s="2">
        <v>47</v>
      </c>
      <c r="C5" s="2">
        <v>26</v>
      </c>
      <c r="D5" s="2">
        <v>2</v>
      </c>
      <c r="E5" s="2">
        <v>2</v>
      </c>
      <c r="F5" s="2">
        <v>2</v>
      </c>
      <c r="G5" s="2">
        <v>4</v>
      </c>
      <c r="H5" s="9">
        <v>0.68</v>
      </c>
    </row>
    <row r="6" spans="1:8" x14ac:dyDescent="0.3">
      <c r="A6" s="2" t="s">
        <v>84</v>
      </c>
      <c r="B6" s="2">
        <v>48</v>
      </c>
      <c r="C6" s="2">
        <v>18</v>
      </c>
      <c r="D6" s="2">
        <v>2</v>
      </c>
      <c r="E6" s="2">
        <v>1</v>
      </c>
      <c r="F6" s="2">
        <v>1</v>
      </c>
      <c r="G6" s="2">
        <v>2</v>
      </c>
      <c r="H6" s="9">
        <v>0.48</v>
      </c>
    </row>
    <row r="7" spans="1:8" x14ac:dyDescent="0.3">
      <c r="A7" s="2" t="s">
        <v>85</v>
      </c>
      <c r="B7" s="2">
        <v>47</v>
      </c>
      <c r="C7" s="2">
        <v>18</v>
      </c>
      <c r="D7" s="2">
        <v>3</v>
      </c>
      <c r="E7" s="2">
        <v>1</v>
      </c>
      <c r="F7" s="2">
        <v>1</v>
      </c>
      <c r="G7" s="2">
        <v>2</v>
      </c>
      <c r="H7" s="9">
        <v>0.55000000000000004</v>
      </c>
    </row>
    <row r="8" spans="1:8" x14ac:dyDescent="0.3">
      <c r="A8" s="2" t="s">
        <v>86</v>
      </c>
      <c r="B8" s="2">
        <v>42</v>
      </c>
      <c r="C8" s="2">
        <v>30</v>
      </c>
      <c r="D8" s="2">
        <v>1</v>
      </c>
      <c r="E8" s="2">
        <v>3</v>
      </c>
      <c r="F8" s="2">
        <v>1</v>
      </c>
      <c r="G8" s="2">
        <v>1</v>
      </c>
      <c r="H8" s="9">
        <v>0.89</v>
      </c>
    </row>
    <row r="9" spans="1:8" x14ac:dyDescent="0.3">
      <c r="A9" s="2" t="s">
        <v>87</v>
      </c>
      <c r="B9" s="2">
        <v>30</v>
      </c>
      <c r="C9" s="2">
        <v>13</v>
      </c>
      <c r="D9" s="2">
        <v>1</v>
      </c>
      <c r="E9" s="2">
        <v>1</v>
      </c>
      <c r="F9" s="2">
        <v>3</v>
      </c>
      <c r="G9" s="2">
        <v>3</v>
      </c>
      <c r="H9" s="9">
        <v>0.57999999999999996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I7"/>
  <sheetViews>
    <sheetView workbookViewId="0"/>
  </sheetViews>
  <sheetFormatPr defaultRowHeight="16.5" x14ac:dyDescent="0.3"/>
  <cols>
    <col min="2" max="2" width="15.125" customWidth="1"/>
    <col min="8" max="8" width="11" customWidth="1"/>
  </cols>
  <sheetData>
    <row r="2" spans="1:9" x14ac:dyDescent="0.3">
      <c r="A2" t="s">
        <v>89</v>
      </c>
      <c r="H2" t="s">
        <v>104</v>
      </c>
    </row>
    <row r="3" spans="1:9" x14ac:dyDescent="0.3">
      <c r="A3" s="1" t="s">
        <v>90</v>
      </c>
      <c r="B3" s="1" t="s">
        <v>101</v>
      </c>
      <c r="C3" s="1" t="s">
        <v>91</v>
      </c>
      <c r="D3" s="1" t="s">
        <v>92</v>
      </c>
      <c r="E3" s="1" t="s">
        <v>94</v>
      </c>
      <c r="F3" s="1" t="s">
        <v>93</v>
      </c>
      <c r="H3" s="3" t="s">
        <v>91</v>
      </c>
      <c r="I3" s="3" t="s">
        <v>92</v>
      </c>
    </row>
    <row r="4" spans="1:9" x14ac:dyDescent="0.3">
      <c r="A4" t="s">
        <v>102</v>
      </c>
      <c r="B4" t="s">
        <v>106</v>
      </c>
      <c r="C4" t="s">
        <v>95</v>
      </c>
      <c r="D4">
        <v>1900</v>
      </c>
      <c r="E4">
        <v>2</v>
      </c>
      <c r="F4">
        <v>3610</v>
      </c>
      <c r="H4" s="2" t="s">
        <v>96</v>
      </c>
      <c r="I4" s="23">
        <v>1900</v>
      </c>
    </row>
    <row r="5" spans="1:9" x14ac:dyDescent="0.3">
      <c r="A5" t="s">
        <v>103</v>
      </c>
      <c r="B5" t="s">
        <v>105</v>
      </c>
      <c r="C5" t="s">
        <v>98</v>
      </c>
      <c r="D5">
        <v>500</v>
      </c>
      <c r="E5">
        <v>3</v>
      </c>
      <c r="F5">
        <v>1500</v>
      </c>
      <c r="H5" s="2" t="s">
        <v>97</v>
      </c>
      <c r="I5" s="23">
        <v>3200</v>
      </c>
    </row>
    <row r="6" spans="1:9" x14ac:dyDescent="0.3">
      <c r="H6" s="2" t="s">
        <v>99</v>
      </c>
      <c r="I6" s="23">
        <v>500</v>
      </c>
    </row>
    <row r="7" spans="1:9" x14ac:dyDescent="0.3">
      <c r="H7" s="2" t="s">
        <v>100</v>
      </c>
      <c r="I7" s="23">
        <v>1500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판매내역입력">
          <controlPr defaultSize="0" autoLine="0" r:id="rId4">
            <anchor moveWithCells="1">
              <from>
                <xdr:col>4</xdr:col>
                <xdr:colOff>295275</xdr:colOff>
                <xdr:row>0</xdr:row>
                <xdr:rowOff>76200</xdr:rowOff>
              </from>
              <to>
                <xdr:col>6</xdr:col>
                <xdr:colOff>9525</xdr:colOff>
                <xdr:row>1</xdr:row>
                <xdr:rowOff>161925</xdr:rowOff>
              </to>
            </anchor>
          </controlPr>
        </control>
      </mc:Choice>
      <mc:Fallback>
        <control shapeId="7169" r:id="rId3" name="cmd판매내역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4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2018-12-03T08:04:30Z</cp:lastPrinted>
  <dcterms:created xsi:type="dcterms:W3CDTF">2018-10-20T04:18:04Z</dcterms:created>
  <dcterms:modified xsi:type="dcterms:W3CDTF">2019-01-15T05:54:31Z</dcterms:modified>
</cp:coreProperties>
</file>