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360" yWindow="135" windowWidth="28035" windowHeight="13005" activeTab="7"/>
  </bookViews>
  <sheets>
    <sheet name="기본작업-1" sheetId="2" r:id="rId1"/>
    <sheet name="기본작업-2" sheetId="3" r:id="rId2"/>
    <sheet name="기본작업-3" sheetId="4" r:id="rId3"/>
    <sheet name="계산작업" sheetId="1" r:id="rId4"/>
    <sheet name="분석작업-1" sheetId="5" r:id="rId5"/>
    <sheet name="분석작업-2" sheetId="6" r:id="rId6"/>
    <sheet name="기타작업-1" sheetId="7" r:id="rId7"/>
    <sheet name="기타작업-2" sheetId="8" r:id="rId8"/>
  </sheets>
  <functionGroups builtInGroupCount="17"/>
  <definedNames>
    <definedName name="_xlnm._FilterDatabase" localSheetId="0" hidden="1">'기본작업-1'!#REF!</definedName>
    <definedName name="_xlnm._FilterDatabase" localSheetId="1" hidden="1">'기본작업-2'!$A$2:$G$16</definedName>
    <definedName name="_xlnm._FilterDatabase" localSheetId="2" hidden="1">'기본작업-3'!$A$2:$F$16</definedName>
    <definedName name="_xlnm.Criteria" localSheetId="0">'기본작업-1'!#REF!</definedName>
    <definedName name="_xlnm.Criteria" localSheetId="1">'기본작업-2'!$A$18:$A$19</definedName>
    <definedName name="_xlnm.Criteria" localSheetId="2">'기본작업-3'!#REF!</definedName>
    <definedName name="_xlnm.Extract" localSheetId="0">'기본작업-1'!#REF!</definedName>
    <definedName name="_xlnm.Extract" localSheetId="1">'기본작업-2'!$A$22:$G$22</definedName>
    <definedName name="_xlnm.Extract" localSheetId="2">'기본작업-3'!#REF!</definedName>
    <definedName name="MS_Access_Database_Query" localSheetId="0" hidden="1">'기본작업-1'!$B$2:$F$6</definedName>
    <definedName name="_xlnm.Print_Area" localSheetId="2">'기본작업-3'!$A$1:$G$16,'기본작업-3'!$A$18:$G$25</definedName>
  </definedNames>
  <calcPr calcId="145621"/>
  <pivotCaches>
    <pivotCache cacheId="4" r:id="rId9"/>
  </pivotCaches>
</workbook>
</file>

<file path=xl/calcChain.xml><?xml version="1.0" encoding="utf-8"?>
<calcChain xmlns="http://schemas.openxmlformats.org/spreadsheetml/2006/main">
  <c r="I25" i="1" l="1" a="1"/>
  <c r="I25" i="1" s="1"/>
  <c r="G29" i="6" l="1"/>
  <c r="F29" i="6"/>
  <c r="E29" i="6"/>
  <c r="D29" i="6"/>
  <c r="G28" i="6"/>
  <c r="F28" i="6"/>
  <c r="E28" i="6"/>
  <c r="D28" i="6"/>
  <c r="G26" i="6"/>
  <c r="F26" i="6"/>
  <c r="E26" i="6"/>
  <c r="D26" i="6"/>
  <c r="G17" i="6"/>
  <c r="F17" i="6"/>
  <c r="E17" i="6"/>
  <c r="D17" i="6"/>
  <c r="G9" i="6"/>
  <c r="F9" i="6"/>
  <c r="E9" i="6"/>
  <c r="D9" i="6"/>
  <c r="G20" i="4" l="1"/>
  <c r="G21" i="4"/>
  <c r="G22" i="4"/>
  <c r="G23" i="4"/>
  <c r="G24" i="4"/>
  <c r="G25" i="4"/>
  <c r="A19" i="3" l="1"/>
  <c r="G4" i="4" l="1"/>
  <c r="G5" i="4"/>
  <c r="G6" i="4"/>
  <c r="G7" i="4"/>
  <c r="G8" i="4"/>
  <c r="G9" i="4"/>
  <c r="G10" i="4"/>
  <c r="G11" i="4"/>
  <c r="G12" i="4"/>
  <c r="G13" i="4"/>
  <c r="G14" i="4"/>
  <c r="G15" i="4"/>
  <c r="G16" i="4"/>
  <c r="G3" i="4"/>
  <c r="C31" i="1" a="1"/>
  <c r="C31" i="1" s="1"/>
  <c r="D31" i="1" a="1"/>
  <c r="D33" i="1" s="1"/>
  <c r="D31" i="1"/>
  <c r="D32" i="1"/>
  <c r="E31" i="1" a="1"/>
  <c r="E31" i="1" s="1"/>
  <c r="B31" i="1" a="1"/>
  <c r="B31" i="1" s="1"/>
  <c r="I26" i="1" a="1"/>
  <c r="I26" i="1" s="1"/>
  <c r="I27" i="1" a="1"/>
  <c r="I27" i="1" s="1"/>
  <c r="I28" i="1" a="1"/>
  <c r="I28" i="1"/>
  <c r="I29" i="1" a="1"/>
  <c r="I29" i="1" s="1"/>
  <c r="I30" i="1" a="1"/>
  <c r="I30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3" i="1"/>
  <c r="D25" i="1"/>
  <c r="D26" i="1"/>
  <c r="D27" i="1"/>
  <c r="C26" i="1"/>
  <c r="C27" i="1"/>
  <c r="C25" i="1"/>
  <c r="J16" i="1"/>
  <c r="J11" i="1"/>
  <c r="J12" i="1"/>
  <c r="J4" i="1"/>
  <c r="J17" i="1"/>
  <c r="J3" i="1"/>
  <c r="J15" i="1"/>
  <c r="J6" i="1"/>
  <c r="J9" i="1"/>
  <c r="J21" i="1"/>
  <c r="J14" i="1"/>
  <c r="J8" i="1"/>
  <c r="J10" i="1"/>
  <c r="J7" i="1"/>
  <c r="J5" i="1"/>
  <c r="J13" i="1"/>
  <c r="J20" i="1"/>
  <c r="J19" i="1"/>
  <c r="J18" i="1"/>
  <c r="E34" i="1" l="1"/>
  <c r="D35" i="1"/>
  <c r="D34" i="1"/>
  <c r="H26" i="1" a="1"/>
  <c r="H26" i="1" s="1"/>
  <c r="H27" i="1" a="1"/>
  <c r="H27" i="1" s="1"/>
  <c r="H29" i="1" a="1"/>
  <c r="H29" i="1" s="1"/>
  <c r="C34" i="1"/>
  <c r="H28" i="1" a="1"/>
  <c r="H28" i="1" s="1"/>
  <c r="H30" i="1" a="1"/>
  <c r="H30" i="1" s="1"/>
  <c r="H25" i="1" a="1"/>
  <c r="H25" i="1" s="1"/>
  <c r="E33" i="1"/>
  <c r="C33" i="1"/>
  <c r="E32" i="1"/>
  <c r="C32" i="1"/>
  <c r="E35" i="1"/>
  <c r="C35" i="1"/>
  <c r="B34" i="1"/>
  <c r="B33" i="1"/>
  <c r="B32" i="1"/>
  <c r="B35" i="1"/>
</calcChain>
</file>

<file path=xl/connections.xml><?xml version="1.0" encoding="utf-8"?>
<connections xmlns="http://schemas.openxmlformats.org/spreadsheetml/2006/main">
  <connection id="1" name="MS Access Database_Query" type="1" refreshedVersion="4" background="1" saveData="1">
    <dbPr connection="DSN=MS Access Database;DBQ=D:\11 메일링서비스\컴활1급실기-메일링\엑셀_18년상시_문제1,2\성적관리.accdb;DefaultDir=D:\11 메일링서비스\컴활1급실기-메일링\엑셀_18년상시_문제1,2;DriverId=25;FIL=MS Access;MaxBufferSize=2048;PageTimeout=5;" command="SELECT 성적.수험번호, 성적.데이터베이스, 성적.데이터통신, 성적.운영체제, 성적.소프트웨어공학_x000d__x000a_FROM 성적 성적_x000d__x000a_WHERE (성적.수험번호 Like '가%') AND (성적.데이터통신&gt;=70 And 성적.데이터통신&lt;90) OR (성적.수험번호 Like '다%') AND (성적.데이터통신&gt;=70 And 성적.데이터통신&lt;90)_x000d__x000a_ORDER BY 성적.수험번호, 성적.데이터통신 DESC"/>
  </connection>
</connections>
</file>

<file path=xl/sharedStrings.xml><?xml version="1.0" encoding="utf-8"?>
<sst xmlns="http://schemas.openxmlformats.org/spreadsheetml/2006/main" count="295" uniqueCount="132">
  <si>
    <t>응시자코드</t>
    <phoneticPr fontId="1" type="noConversion"/>
  </si>
  <si>
    <t>3월</t>
    <phoneticPr fontId="1" type="noConversion"/>
  </si>
  <si>
    <t>4월</t>
  </si>
  <si>
    <t>5월</t>
  </si>
  <si>
    <t>6월</t>
  </si>
  <si>
    <t>합계</t>
    <phoneticPr fontId="1" type="noConversion"/>
  </si>
  <si>
    <t>결석수</t>
    <phoneticPr fontId="1" type="noConversion"/>
  </si>
  <si>
    <t>코드</t>
    <phoneticPr fontId="1" type="noConversion"/>
  </si>
  <si>
    <t>구분</t>
    <phoneticPr fontId="1" type="noConversion"/>
  </si>
  <si>
    <t>심화</t>
    <phoneticPr fontId="1" type="noConversion"/>
  </si>
  <si>
    <t>응용</t>
    <phoneticPr fontId="1" type="noConversion"/>
  </si>
  <si>
    <t>기초</t>
    <phoneticPr fontId="1" type="noConversion"/>
  </si>
  <si>
    <t>4월</t>
    <phoneticPr fontId="1" type="noConversion"/>
  </si>
  <si>
    <t>5월</t>
    <phoneticPr fontId="1" type="noConversion"/>
  </si>
  <si>
    <t>과목코드</t>
    <phoneticPr fontId="1" type="noConversion"/>
  </si>
  <si>
    <t>과목코드</t>
    <phoneticPr fontId="1" type="noConversion"/>
  </si>
  <si>
    <t>합계 평균</t>
    <phoneticPr fontId="1" type="noConversion"/>
  </si>
  <si>
    <t>점수</t>
    <phoneticPr fontId="1" type="noConversion"/>
  </si>
  <si>
    <t>데이터베이스</t>
    <phoneticPr fontId="1" type="noConversion"/>
  </si>
  <si>
    <t>운영체제</t>
    <phoneticPr fontId="1" type="noConversion"/>
  </si>
  <si>
    <t>응시횟수</t>
    <phoneticPr fontId="1" type="noConversion"/>
  </si>
  <si>
    <t>[표1]</t>
    <phoneticPr fontId="1" type="noConversion"/>
  </si>
  <si>
    <t>2A-34</t>
    <phoneticPr fontId="1" type="noConversion"/>
  </si>
  <si>
    <t>3A-33</t>
    <phoneticPr fontId="1" type="noConversion"/>
  </si>
  <si>
    <t>3B-78</t>
    <phoneticPr fontId="1" type="noConversion"/>
  </si>
  <si>
    <t>5B-39</t>
    <phoneticPr fontId="1" type="noConversion"/>
  </si>
  <si>
    <t>6C-46</t>
    <phoneticPr fontId="1" type="noConversion"/>
  </si>
  <si>
    <t>2C-43</t>
    <phoneticPr fontId="1" type="noConversion"/>
  </si>
  <si>
    <t>C</t>
    <phoneticPr fontId="1" type="noConversion"/>
  </si>
  <si>
    <t>B</t>
    <phoneticPr fontId="1" type="noConversion"/>
  </si>
  <si>
    <t>A</t>
    <phoneticPr fontId="1" type="noConversion"/>
  </si>
  <si>
    <t>이해수준</t>
    <phoneticPr fontId="1" type="noConversion"/>
  </si>
  <si>
    <t>이름</t>
    <phoneticPr fontId="1" type="noConversion"/>
  </si>
  <si>
    <t>수험번호</t>
    <phoneticPr fontId="1" type="noConversion"/>
  </si>
  <si>
    <t>가052</t>
    <phoneticPr fontId="1" type="noConversion"/>
  </si>
  <si>
    <t>나124</t>
    <phoneticPr fontId="1" type="noConversion"/>
  </si>
  <si>
    <t>다952</t>
    <phoneticPr fontId="1" type="noConversion"/>
  </si>
  <si>
    <t>나052</t>
    <phoneticPr fontId="1" type="noConversion"/>
  </si>
  <si>
    <t>라512</t>
    <phoneticPr fontId="1" type="noConversion"/>
  </si>
  <si>
    <t>가215</t>
    <phoneticPr fontId="1" type="noConversion"/>
  </si>
  <si>
    <t>다095</t>
    <phoneticPr fontId="1" type="noConversion"/>
  </si>
  <si>
    <t>나065</t>
    <phoneticPr fontId="1" type="noConversion"/>
  </si>
  <si>
    <t>라658</t>
    <phoneticPr fontId="1" type="noConversion"/>
  </si>
  <si>
    <t>라982</t>
    <phoneticPr fontId="1" type="noConversion"/>
  </si>
  <si>
    <t>다357</t>
    <phoneticPr fontId="1" type="noConversion"/>
  </si>
  <si>
    <t>가094</t>
    <phoneticPr fontId="1" type="noConversion"/>
  </si>
  <si>
    <t>나094</t>
    <phoneticPr fontId="1" type="noConversion"/>
  </si>
  <si>
    <t>홍길동</t>
    <phoneticPr fontId="1" type="noConversion"/>
  </si>
  <si>
    <t>이신영</t>
    <phoneticPr fontId="1" type="noConversion"/>
  </si>
  <si>
    <t>강석호</t>
    <phoneticPr fontId="1" type="noConversion"/>
  </si>
  <si>
    <t>임수경</t>
    <phoneticPr fontId="1" type="noConversion"/>
  </si>
  <si>
    <t>양세진</t>
    <phoneticPr fontId="1" type="noConversion"/>
  </si>
  <si>
    <t>김용민</t>
    <phoneticPr fontId="1" type="noConversion"/>
  </si>
  <si>
    <t>최준경</t>
    <phoneticPr fontId="1" type="noConversion"/>
  </si>
  <si>
    <t>유구희</t>
    <phoneticPr fontId="1" type="noConversion"/>
  </si>
  <si>
    <t>이아현</t>
    <phoneticPr fontId="1" type="noConversion"/>
  </si>
  <si>
    <t>명세진</t>
    <phoneticPr fontId="1" type="noConversion"/>
  </si>
  <si>
    <t>김우희</t>
    <phoneticPr fontId="1" type="noConversion"/>
  </si>
  <si>
    <t>김천명</t>
    <phoneticPr fontId="1" type="noConversion"/>
  </si>
  <si>
    <t>이상정</t>
    <phoneticPr fontId="1" type="noConversion"/>
  </si>
  <si>
    <t>최정운</t>
    <phoneticPr fontId="1" type="noConversion"/>
  </si>
  <si>
    <t>데이터통신</t>
    <phoneticPr fontId="1" type="noConversion"/>
  </si>
  <si>
    <t>조건</t>
    <phoneticPr fontId="1" type="noConversion"/>
  </si>
  <si>
    <t>소프트웨어공학</t>
    <phoneticPr fontId="1" type="noConversion"/>
  </si>
  <si>
    <t>가051</t>
    <phoneticPr fontId="1" type="noConversion"/>
  </si>
  <si>
    <t>평균</t>
    <phoneticPr fontId="1" type="noConversion"/>
  </si>
  <si>
    <t>[표1]</t>
    <phoneticPr fontId="1" type="noConversion"/>
  </si>
  <si>
    <t>결석수 평균</t>
    <phoneticPr fontId="1" type="noConversion"/>
  </si>
  <si>
    <t>수험번호</t>
  </si>
  <si>
    <t>데이터베이스</t>
  </si>
  <si>
    <t>데이터통신</t>
  </si>
  <si>
    <t>운영체제</t>
  </si>
  <si>
    <t>소프트웨어공학</t>
  </si>
  <si>
    <t>가215</t>
  </si>
  <si>
    <t>다095</t>
  </si>
  <si>
    <t>가051</t>
  </si>
  <si>
    <t>다952</t>
  </si>
  <si>
    <t>결과</t>
    <phoneticPr fontId="1" type="noConversion"/>
  </si>
  <si>
    <t>[표2] 구분별 개수</t>
    <phoneticPr fontId="1" type="noConversion"/>
  </si>
  <si>
    <t>[표3] 과목코드별 합계/결석의 평균</t>
    <phoneticPr fontId="1" type="noConversion"/>
  </si>
  <si>
    <t>[표4] 점수대별 개수</t>
    <phoneticPr fontId="1" type="noConversion"/>
  </si>
  <si>
    <t>[표2]</t>
    <phoneticPr fontId="1" type="noConversion"/>
  </si>
  <si>
    <t>담당자</t>
    <phoneticPr fontId="1" type="noConversion"/>
  </si>
  <si>
    <t>계획</t>
    <phoneticPr fontId="1" type="noConversion"/>
  </si>
  <si>
    <t>실적</t>
    <phoneticPr fontId="1" type="noConversion"/>
  </si>
  <si>
    <t>달성여부</t>
    <phoneticPr fontId="1" type="noConversion"/>
  </si>
  <si>
    <t>유기찬</t>
    <phoneticPr fontId="1" type="noConversion"/>
  </si>
  <si>
    <t>설희아</t>
    <phoneticPr fontId="1" type="noConversion"/>
  </si>
  <si>
    <t>이삼봉</t>
    <phoneticPr fontId="1" type="noConversion"/>
  </si>
  <si>
    <t>[표1] 1시험장</t>
    <phoneticPr fontId="1" type="noConversion"/>
  </si>
  <si>
    <t>[표2] 2시험장</t>
    <phoneticPr fontId="1" type="noConversion"/>
  </si>
  <si>
    <t>김용성</t>
    <phoneticPr fontId="1" type="noConversion"/>
  </si>
  <si>
    <t>이숙희</t>
    <phoneticPr fontId="1" type="noConversion"/>
  </si>
  <si>
    <t>강민정</t>
    <phoneticPr fontId="1" type="noConversion"/>
  </si>
  <si>
    <t>김도경</t>
    <phoneticPr fontId="1" type="noConversion"/>
  </si>
  <si>
    <t>최준호</t>
    <phoneticPr fontId="1" type="noConversion"/>
  </si>
  <si>
    <t>유현숙</t>
    <phoneticPr fontId="1" type="noConversion"/>
  </si>
  <si>
    <t>총합계</t>
  </si>
  <si>
    <t>응시날짜</t>
  </si>
  <si>
    <t>응시날짜</t>
    <phoneticPr fontId="1" type="noConversion"/>
  </si>
  <si>
    <t>평균 : 데이터베이스</t>
  </si>
  <si>
    <t>다210</t>
    <phoneticPr fontId="1" type="noConversion"/>
  </si>
  <si>
    <t>가215</t>
    <phoneticPr fontId="1" type="noConversion"/>
  </si>
  <si>
    <t>가200</t>
    <phoneticPr fontId="1" type="noConversion"/>
  </si>
  <si>
    <t>나315</t>
    <phoneticPr fontId="1" type="noConversion"/>
  </si>
  <si>
    <t>다412</t>
    <phoneticPr fontId="1" type="noConversion"/>
  </si>
  <si>
    <t>나214</t>
    <phoneticPr fontId="1" type="noConversion"/>
  </si>
  <si>
    <t>가121</t>
    <phoneticPr fontId="1" type="noConversion"/>
  </si>
  <si>
    <t>나255</t>
    <phoneticPr fontId="1" type="noConversion"/>
  </si>
  <si>
    <t>개수 : 이름</t>
  </si>
  <si>
    <t>2017-08-01 - 2017-08-20</t>
  </si>
  <si>
    <t>2017-08-21 - 2017-09-09</t>
  </si>
  <si>
    <t>2017-09-10 - 2017-09-29</t>
  </si>
  <si>
    <t>2017-09-30 - 2017-10-19</t>
  </si>
  <si>
    <t>2017-10-20 - 2017-11-02</t>
  </si>
  <si>
    <t>08월 평균</t>
  </si>
  <si>
    <t>09월 평균</t>
  </si>
  <si>
    <t>10월 평균</t>
  </si>
  <si>
    <t>11월 평균</t>
  </si>
  <si>
    <t>전체 평균</t>
  </si>
  <si>
    <t>월</t>
    <phoneticPr fontId="1" type="noConversion"/>
  </si>
  <si>
    <t>08월</t>
    <phoneticPr fontId="1" type="noConversion"/>
  </si>
  <si>
    <t>09월</t>
    <phoneticPr fontId="1" type="noConversion"/>
  </si>
  <si>
    <t>10월</t>
    <phoneticPr fontId="1" type="noConversion"/>
  </si>
  <si>
    <t>11월</t>
    <phoneticPr fontId="1" type="noConversion"/>
  </si>
  <si>
    <t>시간</t>
    <phoneticPr fontId="1" type="noConversion"/>
  </si>
  <si>
    <t>지역</t>
    <phoneticPr fontId="1" type="noConversion"/>
  </si>
  <si>
    <t>구분</t>
    <phoneticPr fontId="1" type="noConversion"/>
  </si>
  <si>
    <t>오후</t>
  </si>
  <si>
    <t>달성</t>
  </si>
  <si>
    <t>홍길동</t>
  </si>
  <si>
    <t>서울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</si>
</sst>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 "/>
    <numFmt numFmtId="177" formatCode="mm&quot;월&quot;"/>
    <numFmt numFmtId="178" formatCode="[$-409]h:mm\ AM/PM;@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4" tint="-0.249977111117893"/>
      <name val="맑은 고딕"/>
      <family val="2"/>
      <charset val="129"/>
      <scheme val="minor"/>
    </font>
    <font>
      <sz val="11"/>
      <color theme="4" tint="-0.249977111117893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/>
      <right/>
      <top/>
      <bottom style="thin">
        <color theme="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1" xfId="0" applyNumberFormat="1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4" fillId="0" borderId="1" xfId="0" applyNumberFormat="1" applyFont="1" applyFill="1" applyBorder="1" applyAlignment="1">
      <alignment horizontal="center" vertical="center"/>
    </xf>
    <xf numFmtId="177" fontId="4" fillId="0" borderId="0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77" fontId="5" fillId="0" borderId="1" xfId="0" applyNumberFormat="1" applyFont="1" applyFill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</cellXfs>
  <cellStyles count="1">
    <cellStyle name="표준" xfId="0" builtinId="0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ko-KR" altLang="en-US">
                <a:solidFill>
                  <a:schemeClr val="lt1"/>
                </a:solidFill>
                <a:latin typeface="+mn-lt"/>
                <a:ea typeface="+mn-ea"/>
                <a:cs typeface="+mn-cs"/>
              </a:rPr>
              <a:t>각 과목의 월별 평균 성적</a:t>
            </a:r>
            <a:endParaRPr lang="ko-KR" altLang="en-US"/>
          </a:p>
        </c:rich>
      </c:tx>
      <c:overlay val="0"/>
      <c:spPr>
        <a:gradFill rotWithShape="1">
          <a:gsLst>
            <a:gs pos="0">
              <a:schemeClr val="accent4">
                <a:shade val="51000"/>
                <a:satMod val="130000"/>
              </a:schemeClr>
            </a:gs>
            <a:gs pos="80000">
              <a:schemeClr val="accent4">
                <a:shade val="93000"/>
                <a:satMod val="130000"/>
              </a:schemeClr>
            </a:gs>
            <a:gs pos="100000">
              <a:schemeClr val="accent4">
                <a:shade val="94000"/>
                <a:satMod val="135000"/>
              </a:schemeClr>
            </a:gs>
          </a:gsLst>
          <a:lin ang="16200000" scaled="0"/>
        </a:gradFill>
        <a:ln w="9525" cap="flat" cmpd="sng" algn="ctr">
          <a:solidFill>
            <a:schemeClr val="accent4">
              <a:shade val="95000"/>
              <a:satMod val="105000"/>
            </a:schemeClr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'기타작업-1'!$B$4</c:f>
              <c:strCache>
                <c:ptCount val="1"/>
                <c:pt idx="0">
                  <c:v>09월</c:v>
                </c:pt>
              </c:strCache>
            </c:strRef>
          </c:tx>
          <c:invertIfNegative val="0"/>
          <c:cat>
            <c:strRef>
              <c:f>'기타작업-1'!$C$2:$F$2</c:f>
              <c:strCache>
                <c:ptCount val="4"/>
                <c:pt idx="0">
                  <c:v>데이터베이스</c:v>
                </c:pt>
                <c:pt idx="1">
                  <c:v>데이터통신</c:v>
                </c:pt>
                <c:pt idx="2">
                  <c:v>운영체제</c:v>
                </c:pt>
                <c:pt idx="3">
                  <c:v>소프트웨어공학</c:v>
                </c:pt>
              </c:strCache>
            </c:strRef>
          </c:cat>
          <c:val>
            <c:numRef>
              <c:f>'기타작업-1'!$C$4:$F$4</c:f>
              <c:numCache>
                <c:formatCode>General</c:formatCode>
                <c:ptCount val="4"/>
                <c:pt idx="0">
                  <c:v>73</c:v>
                </c:pt>
                <c:pt idx="1">
                  <c:v>81</c:v>
                </c:pt>
                <c:pt idx="2">
                  <c:v>77</c:v>
                </c:pt>
                <c:pt idx="3">
                  <c:v>72</c:v>
                </c:pt>
              </c:numCache>
            </c:numRef>
          </c:val>
        </c:ser>
        <c:ser>
          <c:idx val="2"/>
          <c:order val="2"/>
          <c:tx>
            <c:strRef>
              <c:f>'기타작업-1'!$B$5</c:f>
              <c:strCache>
                <c:ptCount val="1"/>
                <c:pt idx="0">
                  <c:v>10월</c:v>
                </c:pt>
              </c:strCache>
            </c:strRef>
          </c:tx>
          <c:invertIfNegative val="0"/>
          <c:cat>
            <c:strRef>
              <c:f>'기타작업-1'!$C$2:$F$2</c:f>
              <c:strCache>
                <c:ptCount val="4"/>
                <c:pt idx="0">
                  <c:v>데이터베이스</c:v>
                </c:pt>
                <c:pt idx="1">
                  <c:v>데이터통신</c:v>
                </c:pt>
                <c:pt idx="2">
                  <c:v>운영체제</c:v>
                </c:pt>
                <c:pt idx="3">
                  <c:v>소프트웨어공학</c:v>
                </c:pt>
              </c:strCache>
            </c:strRef>
          </c:cat>
          <c:val>
            <c:numRef>
              <c:f>'기타작업-1'!$C$5:$F$5</c:f>
              <c:numCache>
                <c:formatCode>General</c:formatCode>
                <c:ptCount val="4"/>
                <c:pt idx="0">
                  <c:v>74</c:v>
                </c:pt>
                <c:pt idx="1">
                  <c:v>84</c:v>
                </c:pt>
                <c:pt idx="2">
                  <c:v>78</c:v>
                </c:pt>
                <c:pt idx="3">
                  <c:v>86</c:v>
                </c:pt>
              </c:numCache>
            </c:numRef>
          </c:val>
        </c:ser>
        <c:ser>
          <c:idx val="3"/>
          <c:order val="3"/>
          <c:tx>
            <c:strRef>
              <c:f>'기타작업-1'!$B$6</c:f>
              <c:strCache>
                <c:ptCount val="1"/>
                <c:pt idx="0">
                  <c:v>11월</c:v>
                </c:pt>
              </c:strCache>
            </c:strRef>
          </c:tx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'기타작업-1'!$C$2:$F$2</c:f>
              <c:strCache>
                <c:ptCount val="4"/>
                <c:pt idx="0">
                  <c:v>데이터베이스</c:v>
                </c:pt>
                <c:pt idx="1">
                  <c:v>데이터통신</c:v>
                </c:pt>
                <c:pt idx="2">
                  <c:v>운영체제</c:v>
                </c:pt>
                <c:pt idx="3">
                  <c:v>소프트웨어공학</c:v>
                </c:pt>
              </c:strCache>
            </c:strRef>
          </c:cat>
          <c:val>
            <c:numRef>
              <c:f>'기타작업-1'!$C$6:$F$6</c:f>
              <c:numCache>
                <c:formatCode>General</c:formatCode>
                <c:ptCount val="4"/>
                <c:pt idx="0">
                  <c:v>98</c:v>
                </c:pt>
                <c:pt idx="1">
                  <c:v>95</c:v>
                </c:pt>
                <c:pt idx="2">
                  <c:v>96</c:v>
                </c:pt>
                <c:pt idx="3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770112"/>
        <c:axId val="93771648"/>
      </c:barChart>
      <c:lineChart>
        <c:grouping val="standar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08월</c:v>
                </c:pt>
              </c:strCache>
            </c:strRef>
          </c:tx>
          <c:cat>
            <c:strRef>
              <c:f>'기타작업-1'!$C$2:$F$2</c:f>
              <c:strCache>
                <c:ptCount val="4"/>
                <c:pt idx="0">
                  <c:v>데이터베이스</c:v>
                </c:pt>
                <c:pt idx="1">
                  <c:v>데이터통신</c:v>
                </c:pt>
                <c:pt idx="2">
                  <c:v>운영체제</c:v>
                </c:pt>
                <c:pt idx="3">
                  <c:v>소프트웨어공학</c:v>
                </c:pt>
              </c:strCache>
            </c:strRef>
          </c:cat>
          <c:val>
            <c:numRef>
              <c:f>'기타작업-1'!$C$3:$F$3</c:f>
              <c:numCache>
                <c:formatCode>General</c:formatCode>
                <c:ptCount val="4"/>
                <c:pt idx="0">
                  <c:v>57</c:v>
                </c:pt>
                <c:pt idx="1">
                  <c:v>79</c:v>
                </c:pt>
                <c:pt idx="2">
                  <c:v>60</c:v>
                </c:pt>
                <c:pt idx="3">
                  <c:v>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770112"/>
        <c:axId val="93771648"/>
      </c:lineChart>
      <c:catAx>
        <c:axId val="93770112"/>
        <c:scaling>
          <c:orientation val="minMax"/>
        </c:scaling>
        <c:delete val="0"/>
        <c:axPos val="t"/>
        <c:majorTickMark val="out"/>
        <c:minorTickMark val="none"/>
        <c:tickLblPos val="nextTo"/>
        <c:crossAx val="93771648"/>
        <c:crosses val="autoZero"/>
        <c:auto val="1"/>
        <c:lblAlgn val="ctr"/>
        <c:lblOffset val="100"/>
        <c:noMultiLvlLbl val="0"/>
      </c:catAx>
      <c:valAx>
        <c:axId val="93771648"/>
        <c:scaling>
          <c:orientation val="maxMin"/>
          <c:max val="12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37701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월별 부분합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6</xdr:col>
      <xdr:colOff>600074</xdr:colOff>
      <xdr:row>24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504825</xdr:colOff>
          <xdr:row>0</xdr:row>
          <xdr:rowOff>123825</xdr:rowOff>
        </xdr:from>
        <xdr:to>
          <xdr:col>8</xdr:col>
          <xdr:colOff>28575</xdr:colOff>
          <xdr:row>2</xdr:row>
          <xdr:rowOff>47625</xdr:rowOff>
        </xdr:to>
        <xdr:sp macro="" textlink="">
          <xdr:nvSpPr>
            <xdr:cNvPr id="8193" name="cmd실적현황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3167.594263657411" createdVersion="4" refreshedVersion="4" minRefreshableVersion="3" recordCount="22">
  <cacheSource type="worksheet">
    <worksheetSource ref="A2:G24" sheet="분석작업-1"/>
  </cacheSource>
  <cacheFields count="7">
    <cacheField name="수험번호" numFmtId="0">
      <sharedItems/>
    </cacheField>
    <cacheField name="이름" numFmtId="0">
      <sharedItems/>
    </cacheField>
    <cacheField name="응시날짜" numFmtId="14">
      <sharedItems containsSemiMixedTypes="0" containsNonDate="0" containsDate="1" containsString="0" minDate="2017-08-01T00:00:00" maxDate="2017-11-02T00:00:00" count="20">
        <d v="2017-08-01T00:00:00"/>
        <d v="2017-08-11T00:00:00"/>
        <d v="2017-08-15T00:00:00"/>
        <d v="2017-08-21T00:00:00"/>
        <d v="2017-09-07T00:00:00"/>
        <d v="2017-08-23T00:00:00"/>
        <d v="2017-09-08T00:00:00"/>
        <d v="2017-09-10T00:00:00"/>
        <d v="2017-09-21T00:00:00"/>
        <d v="2017-09-23T00:00:00"/>
        <d v="2017-09-25T00:00:00"/>
        <d v="2017-10-03T00:00:00"/>
        <d v="2017-10-07T00:00:00"/>
        <d v="2017-10-05T00:00:00"/>
        <d v="2017-10-09T00:00:00"/>
        <d v="2017-10-11T00:00:00"/>
        <d v="2017-10-21T00:00:00"/>
        <d v="2017-10-20T00:00:00"/>
        <d v="2017-10-22T00:00:00"/>
        <d v="2017-11-01T00:00:00"/>
      </sharedItems>
      <fieldGroup base="2">
        <rangePr groupBy="days" startDate="2017-08-01T00:00:00" endDate="2017-11-02T00:00:00" groupInterval="20"/>
        <groupItems count="7">
          <s v="&lt;2017-08-01"/>
          <s v="2017-08-01 - 2017-08-20"/>
          <s v="2017-08-21 - 2017-09-09"/>
          <s v="2017-09-10 - 2017-09-29"/>
          <s v="2017-09-30 - 2017-10-19"/>
          <s v="2017-10-20 - 2017-11-02"/>
          <s v="&gt;2017-11-02"/>
        </groupItems>
      </fieldGroup>
    </cacheField>
    <cacheField name="데이터베이스" numFmtId="0">
      <sharedItems containsSemiMixedTypes="0" containsString="0" containsNumber="1" containsInteger="1" minValue="24" maxValue="98"/>
    </cacheField>
    <cacheField name="데이터통신" numFmtId="0">
      <sharedItems containsSemiMixedTypes="0" containsString="0" containsNumber="1" containsInteger="1" minValue="50" maxValue="98"/>
    </cacheField>
    <cacheField name="운영체제" numFmtId="0">
      <sharedItems containsSemiMixedTypes="0" containsString="0" containsNumber="1" containsInteger="1" minValue="48" maxValue="98"/>
    </cacheField>
    <cacheField name="소프트웨어공학" numFmtId="0">
      <sharedItems containsSemiMixedTypes="0" containsString="0" containsNumber="1" containsInteger="1" minValue="24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">
  <r>
    <s v="가051"/>
    <s v="홍길동"/>
    <x v="0"/>
    <n v="54"/>
    <n v="55"/>
    <n v="69"/>
    <n v="90"/>
  </r>
  <r>
    <s v="라658"/>
    <s v="이신영"/>
    <x v="1"/>
    <n v="95"/>
    <n v="98"/>
    <n v="86"/>
    <n v="100"/>
  </r>
  <r>
    <s v="다095"/>
    <s v="강석호"/>
    <x v="2"/>
    <n v="95"/>
    <n v="85"/>
    <n v="50"/>
    <n v="70"/>
  </r>
  <r>
    <s v="나052"/>
    <s v="임수경"/>
    <x v="2"/>
    <n v="38"/>
    <n v="75"/>
    <n v="54"/>
    <n v="94"/>
  </r>
  <r>
    <s v="나094"/>
    <s v="양세진"/>
    <x v="3"/>
    <n v="24"/>
    <n v="90"/>
    <n v="48"/>
    <n v="69"/>
  </r>
  <r>
    <s v="다210"/>
    <s v="이신영"/>
    <x v="4"/>
    <n v="95"/>
    <n v="98"/>
    <n v="86"/>
    <n v="100"/>
  </r>
  <r>
    <s v="나315"/>
    <s v="임수경"/>
    <x v="5"/>
    <n v="38"/>
    <n v="75"/>
    <n v="54"/>
    <n v="94"/>
  </r>
  <r>
    <s v="나065"/>
    <s v="김용민"/>
    <x v="6"/>
    <n v="80"/>
    <n v="83"/>
    <n v="95"/>
    <n v="24"/>
  </r>
  <r>
    <s v="가215"/>
    <s v="양세진"/>
    <x v="6"/>
    <n v="24"/>
    <n v="90"/>
    <n v="48"/>
    <n v="69"/>
  </r>
  <r>
    <s v="가215"/>
    <s v="최준경"/>
    <x v="7"/>
    <n v="75"/>
    <n v="89"/>
    <n v="98"/>
    <n v="63"/>
  </r>
  <r>
    <s v="다357"/>
    <s v="유구희"/>
    <x v="8"/>
    <n v="86"/>
    <n v="75"/>
    <n v="70"/>
    <n v="75"/>
  </r>
  <r>
    <s v="가121"/>
    <s v="이상정"/>
    <x v="9"/>
    <n v="54"/>
    <n v="50"/>
    <n v="53"/>
    <n v="90"/>
  </r>
  <r>
    <s v="가094"/>
    <s v="이아현"/>
    <x v="10"/>
    <n v="98"/>
    <n v="86"/>
    <n v="89"/>
    <n v="89"/>
  </r>
  <r>
    <s v="라512"/>
    <s v="명세진"/>
    <x v="11"/>
    <n v="63"/>
    <n v="89"/>
    <n v="90"/>
    <n v="54"/>
  </r>
  <r>
    <s v="가052"/>
    <s v="김우희"/>
    <x v="12"/>
    <n v="55"/>
    <n v="88"/>
    <n v="55"/>
    <n v="95"/>
  </r>
  <r>
    <s v="가200"/>
    <s v="이아현"/>
    <x v="13"/>
    <n v="98"/>
    <n v="86"/>
    <n v="89"/>
    <n v="89"/>
  </r>
  <r>
    <s v="다412"/>
    <s v="임수경"/>
    <x v="14"/>
    <n v="38"/>
    <n v="75"/>
    <n v="54"/>
    <n v="94"/>
  </r>
  <r>
    <s v="나124"/>
    <s v="김천명"/>
    <x v="15"/>
    <n v="98"/>
    <n v="95"/>
    <n v="96"/>
    <n v="100"/>
  </r>
  <r>
    <s v="라982"/>
    <s v="이상정"/>
    <x v="16"/>
    <n v="54"/>
    <n v="50"/>
    <n v="53"/>
    <n v="90"/>
  </r>
  <r>
    <s v="나214"/>
    <s v="김천명"/>
    <x v="17"/>
    <n v="98"/>
    <n v="95"/>
    <n v="96"/>
    <n v="100"/>
  </r>
  <r>
    <s v="다952"/>
    <s v="최정운"/>
    <x v="18"/>
    <n v="95"/>
    <n v="95"/>
    <n v="92"/>
    <n v="66"/>
  </r>
  <r>
    <s v="나255"/>
    <s v="김천명"/>
    <x v="19"/>
    <n v="98"/>
    <n v="95"/>
    <n v="96"/>
    <n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3" cacheId="4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compact="0" outline="1" outlineData="1" compactData="0" multipleFieldFilters="0">
  <location ref="I2:K8" firstHeaderRow="0" firstDataRow="1" firstDataCol="1"/>
  <pivotFields count="7">
    <pivotField compact="0" showAll="0"/>
    <pivotField dataField="1" compact="0" showAll="0"/>
    <pivotField axis="axisRow" compact="0" numFmtId="14" showAll="0">
      <items count="8">
        <item x="6"/>
        <item x="0"/>
        <item x="1"/>
        <item x="2"/>
        <item x="3"/>
        <item x="4"/>
        <item x="5"/>
        <item t="default"/>
      </items>
    </pivotField>
    <pivotField dataField="1" compact="0" showAll="0"/>
    <pivotField compact="0" showAll="0"/>
    <pivotField compact="0" showAll="0"/>
    <pivotField compact="0" showAll="0"/>
  </pivotFields>
  <rowFields count="1">
    <field x="2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개수 : 이름" fld="1" subtotal="count" baseField="0" baseItem="0"/>
    <dataField name="평균 : 데이터베이스" fld="3" subtotal="average" baseField="2" baseItem="4" numFmtId="176"/>
  </dataField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S Access Database_Query" connectionId="1" autoFormatId="16" applyNumberFormats="0" applyBorderFormats="0" applyFontFormats="0" applyPatternFormats="0" applyAlignmentFormats="0" applyWidthHeightFormats="0">
  <queryTableRefresh nextId="6">
    <queryTableFields count="5">
      <queryTableField id="1" name="수험번호" tableColumnId="1"/>
      <queryTableField id="2" name="데이터베이스" tableColumnId="2"/>
      <queryTableField id="3" name="데이터통신" tableColumnId="3"/>
      <queryTableField id="4" name="운영체제" tableColumnId="4"/>
      <queryTableField id="5" name="소프트웨어공학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표_MS_Access_Database_Query" displayName="표_MS_Access_Database_Query" ref="B2:F6" tableType="queryTable" totalsRowShown="0">
  <autoFilter ref="B2:F6"/>
  <tableColumns count="5">
    <tableColumn id="1" uniqueName="1" name="수험번호" queryTableFieldId="1"/>
    <tableColumn id="2" uniqueName="2" name="데이터베이스" queryTableFieldId="2"/>
    <tableColumn id="3" uniqueName="3" name="데이터통신" queryTableFieldId="3"/>
    <tableColumn id="4" uniqueName="4" name="운영체제" queryTableFieldId="4"/>
    <tableColumn id="5" uniqueName="5" name="소프트웨어공학" queryTableField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6"/>
  <sheetViews>
    <sheetView workbookViewId="0"/>
  </sheetViews>
  <sheetFormatPr defaultRowHeight="16.5" x14ac:dyDescent="0.3"/>
  <cols>
    <col min="1" max="1" width="3.625" customWidth="1"/>
    <col min="2" max="2" width="11.25" bestFit="1" customWidth="1"/>
    <col min="3" max="3" width="15.25" bestFit="1" customWidth="1"/>
    <col min="4" max="4" width="13.25" bestFit="1" customWidth="1"/>
    <col min="5" max="5" width="11.25" bestFit="1" customWidth="1"/>
    <col min="6" max="6" width="17.375" bestFit="1" customWidth="1"/>
  </cols>
  <sheetData>
    <row r="2" spans="2:6" x14ac:dyDescent="0.3">
      <c r="B2" t="s">
        <v>68</v>
      </c>
      <c r="C2" t="s">
        <v>69</v>
      </c>
      <c r="D2" t="s">
        <v>70</v>
      </c>
      <c r="E2" t="s">
        <v>71</v>
      </c>
      <c r="F2" t="s">
        <v>72</v>
      </c>
    </row>
    <row r="3" spans="2:6" x14ac:dyDescent="0.3">
      <c r="B3" t="s">
        <v>75</v>
      </c>
      <c r="C3">
        <v>95</v>
      </c>
      <c r="D3">
        <v>85</v>
      </c>
      <c r="E3">
        <v>50</v>
      </c>
      <c r="F3">
        <v>70</v>
      </c>
    </row>
    <row r="4" spans="2:6" x14ac:dyDescent="0.3">
      <c r="B4" t="s">
        <v>73</v>
      </c>
      <c r="C4">
        <v>75</v>
      </c>
      <c r="D4">
        <v>89</v>
      </c>
      <c r="E4">
        <v>98</v>
      </c>
      <c r="F4">
        <v>63</v>
      </c>
    </row>
    <row r="5" spans="2:6" x14ac:dyDescent="0.3">
      <c r="B5" t="s">
        <v>74</v>
      </c>
      <c r="C5">
        <v>86</v>
      </c>
      <c r="D5">
        <v>75</v>
      </c>
      <c r="E5">
        <v>70</v>
      </c>
      <c r="F5">
        <v>75</v>
      </c>
    </row>
    <row r="6" spans="2:6" x14ac:dyDescent="0.3">
      <c r="B6" t="s">
        <v>76</v>
      </c>
      <c r="C6">
        <v>38</v>
      </c>
      <c r="D6">
        <v>75</v>
      </c>
      <c r="E6">
        <v>54</v>
      </c>
      <c r="F6">
        <v>94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5"/>
  <sheetViews>
    <sheetView workbookViewId="0"/>
  </sheetViews>
  <sheetFormatPr defaultRowHeight="16.5" x14ac:dyDescent="0.3"/>
  <cols>
    <col min="4" max="4" width="13" bestFit="1" customWidth="1"/>
    <col min="5" max="5" width="11" bestFit="1" customWidth="1"/>
    <col min="6" max="6" width="9.75" customWidth="1"/>
    <col min="7" max="7" width="15.125" bestFit="1" customWidth="1"/>
  </cols>
  <sheetData>
    <row r="1" spans="1:7" x14ac:dyDescent="0.3">
      <c r="A1" t="s">
        <v>66</v>
      </c>
    </row>
    <row r="2" spans="1:7" x14ac:dyDescent="0.3">
      <c r="A2" s="2" t="s">
        <v>33</v>
      </c>
      <c r="B2" s="2" t="s">
        <v>32</v>
      </c>
      <c r="C2" s="2" t="s">
        <v>20</v>
      </c>
      <c r="D2" s="2" t="s">
        <v>18</v>
      </c>
      <c r="E2" s="2" t="s">
        <v>61</v>
      </c>
      <c r="F2" s="2" t="s">
        <v>19</v>
      </c>
      <c r="G2" s="2" t="s">
        <v>63</v>
      </c>
    </row>
    <row r="3" spans="1:7" x14ac:dyDescent="0.3">
      <c r="A3" s="2" t="s">
        <v>34</v>
      </c>
      <c r="B3" s="2" t="s">
        <v>47</v>
      </c>
      <c r="C3" s="2">
        <v>1</v>
      </c>
      <c r="D3" s="2">
        <v>54</v>
      </c>
      <c r="E3" s="2">
        <v>55</v>
      </c>
      <c r="F3" s="2">
        <v>69</v>
      </c>
      <c r="G3" s="2">
        <v>90</v>
      </c>
    </row>
    <row r="4" spans="1:7" x14ac:dyDescent="0.3">
      <c r="A4" s="2" t="s">
        <v>35</v>
      </c>
      <c r="B4" s="2" t="s">
        <v>48</v>
      </c>
      <c r="C4" s="2">
        <v>2</v>
      </c>
      <c r="D4" s="2">
        <v>95</v>
      </c>
      <c r="E4" s="2">
        <v>98</v>
      </c>
      <c r="F4" s="2">
        <v>86</v>
      </c>
      <c r="G4" s="2">
        <v>100</v>
      </c>
    </row>
    <row r="5" spans="1:7" x14ac:dyDescent="0.3">
      <c r="A5" s="2" t="s">
        <v>64</v>
      </c>
      <c r="B5" s="2" t="s">
        <v>49</v>
      </c>
      <c r="C5" s="2">
        <v>1</v>
      </c>
      <c r="D5" s="2">
        <v>95</v>
      </c>
      <c r="E5" s="2">
        <v>85</v>
      </c>
      <c r="F5" s="2">
        <v>50</v>
      </c>
      <c r="G5" s="2">
        <v>70</v>
      </c>
    </row>
    <row r="6" spans="1:7" x14ac:dyDescent="0.3">
      <c r="A6" s="2" t="s">
        <v>36</v>
      </c>
      <c r="B6" s="2" t="s">
        <v>50</v>
      </c>
      <c r="C6" s="2">
        <v>3</v>
      </c>
      <c r="D6" s="2">
        <v>38</v>
      </c>
      <c r="E6" s="2">
        <v>75</v>
      </c>
      <c r="F6" s="2">
        <v>54</v>
      </c>
      <c r="G6" s="2">
        <v>94</v>
      </c>
    </row>
    <row r="7" spans="1:7" x14ac:dyDescent="0.3">
      <c r="A7" s="2" t="s">
        <v>37</v>
      </c>
      <c r="B7" s="2" t="s">
        <v>51</v>
      </c>
      <c r="C7" s="2">
        <v>2</v>
      </c>
      <c r="D7" s="2">
        <v>24</v>
      </c>
      <c r="E7" s="2">
        <v>90</v>
      </c>
      <c r="F7" s="2">
        <v>48</v>
      </c>
      <c r="G7" s="2">
        <v>69</v>
      </c>
    </row>
    <row r="8" spans="1:7" x14ac:dyDescent="0.3">
      <c r="A8" s="2" t="s">
        <v>38</v>
      </c>
      <c r="B8" s="2" t="s">
        <v>52</v>
      </c>
      <c r="C8" s="2">
        <v>1</v>
      </c>
      <c r="D8" s="2">
        <v>80</v>
      </c>
      <c r="E8" s="2">
        <v>83</v>
      </c>
      <c r="F8" s="2">
        <v>95</v>
      </c>
      <c r="G8" s="2">
        <v>24</v>
      </c>
    </row>
    <row r="9" spans="1:7" x14ac:dyDescent="0.3">
      <c r="A9" s="2" t="s">
        <v>39</v>
      </c>
      <c r="B9" s="2" t="s">
        <v>53</v>
      </c>
      <c r="C9" s="2">
        <v>1</v>
      </c>
      <c r="D9" s="2">
        <v>75</v>
      </c>
      <c r="E9" s="2">
        <v>89</v>
      </c>
      <c r="F9" s="2">
        <v>98</v>
      </c>
      <c r="G9" s="2">
        <v>63</v>
      </c>
    </row>
    <row r="10" spans="1:7" x14ac:dyDescent="0.3">
      <c r="A10" s="2" t="s">
        <v>40</v>
      </c>
      <c r="B10" s="2" t="s">
        <v>54</v>
      </c>
      <c r="C10" s="2">
        <v>1</v>
      </c>
      <c r="D10" s="2">
        <v>86</v>
      </c>
      <c r="E10" s="2">
        <v>75</v>
      </c>
      <c r="F10" s="2">
        <v>70</v>
      </c>
      <c r="G10" s="2">
        <v>75</v>
      </c>
    </row>
    <row r="11" spans="1:7" x14ac:dyDescent="0.3">
      <c r="A11" s="2" t="s">
        <v>41</v>
      </c>
      <c r="B11" s="2" t="s">
        <v>55</v>
      </c>
      <c r="C11" s="2">
        <v>2</v>
      </c>
      <c r="D11" s="2">
        <v>98</v>
      </c>
      <c r="E11" s="2">
        <v>86</v>
      </c>
      <c r="F11" s="2">
        <v>89</v>
      </c>
      <c r="G11" s="2">
        <v>89</v>
      </c>
    </row>
    <row r="12" spans="1:7" x14ac:dyDescent="0.3">
      <c r="A12" s="2" t="s">
        <v>42</v>
      </c>
      <c r="B12" s="2" t="s">
        <v>56</v>
      </c>
      <c r="C12" s="2">
        <v>1</v>
      </c>
      <c r="D12" s="2">
        <v>63</v>
      </c>
      <c r="E12" s="2">
        <v>89</v>
      </c>
      <c r="F12" s="2">
        <v>90</v>
      </c>
      <c r="G12" s="2">
        <v>54</v>
      </c>
    </row>
    <row r="13" spans="1:7" x14ac:dyDescent="0.3">
      <c r="A13" s="2" t="s">
        <v>43</v>
      </c>
      <c r="B13" s="2" t="s">
        <v>57</v>
      </c>
      <c r="C13" s="2">
        <v>1</v>
      </c>
      <c r="D13" s="2">
        <v>55</v>
      </c>
      <c r="E13" s="2">
        <v>88</v>
      </c>
      <c r="F13" s="2">
        <v>55</v>
      </c>
      <c r="G13" s="2">
        <v>95</v>
      </c>
    </row>
    <row r="14" spans="1:7" x14ac:dyDescent="0.3">
      <c r="A14" s="2" t="s">
        <v>44</v>
      </c>
      <c r="B14" s="2" t="s">
        <v>58</v>
      </c>
      <c r="C14" s="2">
        <v>3</v>
      </c>
      <c r="D14" s="2">
        <v>98</v>
      </c>
      <c r="E14" s="2">
        <v>95</v>
      </c>
      <c r="F14" s="2">
        <v>96</v>
      </c>
      <c r="G14" s="2">
        <v>100</v>
      </c>
    </row>
    <row r="15" spans="1:7" x14ac:dyDescent="0.3">
      <c r="A15" s="2" t="s">
        <v>45</v>
      </c>
      <c r="B15" s="2" t="s">
        <v>59</v>
      </c>
      <c r="C15" s="2">
        <v>2</v>
      </c>
      <c r="D15" s="2">
        <v>54</v>
      </c>
      <c r="E15" s="2">
        <v>50</v>
      </c>
      <c r="F15" s="2">
        <v>53</v>
      </c>
      <c r="G15" s="2">
        <v>90</v>
      </c>
    </row>
    <row r="16" spans="1:7" x14ac:dyDescent="0.3">
      <c r="A16" s="2" t="s">
        <v>46</v>
      </c>
      <c r="B16" s="2" t="s">
        <v>60</v>
      </c>
      <c r="C16" s="2">
        <v>1</v>
      </c>
      <c r="D16" s="2">
        <v>95</v>
      </c>
      <c r="E16" s="2">
        <v>95</v>
      </c>
      <c r="F16" s="2">
        <v>92</v>
      </c>
      <c r="G16" s="2">
        <v>66</v>
      </c>
    </row>
    <row r="18" spans="1:7" x14ac:dyDescent="0.3">
      <c r="A18" s="1" t="s">
        <v>62</v>
      </c>
    </row>
    <row r="19" spans="1:7" x14ac:dyDescent="0.3">
      <c r="A19" s="1" t="b">
        <f>AND(MID(A3,2,1)="0",F3&lt;=SMALL($F$3:$F$16,5))</f>
        <v>0</v>
      </c>
    </row>
    <row r="20" spans="1:7" x14ac:dyDescent="0.3">
      <c r="A20" s="1"/>
    </row>
    <row r="22" spans="1:7" x14ac:dyDescent="0.3">
      <c r="A22" s="2" t="s">
        <v>33</v>
      </c>
      <c r="B22" s="2" t="s">
        <v>32</v>
      </c>
      <c r="C22" s="2" t="s">
        <v>20</v>
      </c>
      <c r="D22" s="2" t="s">
        <v>18</v>
      </c>
      <c r="E22" s="2" t="s">
        <v>61</v>
      </c>
      <c r="F22" s="2" t="s">
        <v>19</v>
      </c>
      <c r="G22" s="2" t="s">
        <v>63</v>
      </c>
    </row>
    <row r="23" spans="1:7" x14ac:dyDescent="0.3">
      <c r="A23" s="2" t="s">
        <v>64</v>
      </c>
      <c r="B23" s="2" t="s">
        <v>49</v>
      </c>
      <c r="C23" s="2">
        <v>1</v>
      </c>
      <c r="D23" s="2">
        <v>95</v>
      </c>
      <c r="E23" s="2">
        <v>85</v>
      </c>
      <c r="F23" s="2">
        <v>50</v>
      </c>
      <c r="G23" s="2">
        <v>70</v>
      </c>
    </row>
    <row r="24" spans="1:7" x14ac:dyDescent="0.3">
      <c r="A24" s="2" t="s">
        <v>37</v>
      </c>
      <c r="B24" s="2" t="s">
        <v>51</v>
      </c>
      <c r="C24" s="2">
        <v>2</v>
      </c>
      <c r="D24" s="2">
        <v>24</v>
      </c>
      <c r="E24" s="2">
        <v>90</v>
      </c>
      <c r="F24" s="2">
        <v>48</v>
      </c>
      <c r="G24" s="2">
        <v>69</v>
      </c>
    </row>
    <row r="25" spans="1:7" x14ac:dyDescent="0.3">
      <c r="A25" s="2" t="s">
        <v>45</v>
      </c>
      <c r="B25" s="2" t="s">
        <v>59</v>
      </c>
      <c r="C25" s="2">
        <v>2</v>
      </c>
      <c r="D25" s="2">
        <v>54</v>
      </c>
      <c r="E25" s="2">
        <v>50</v>
      </c>
      <c r="F25" s="2">
        <v>53</v>
      </c>
      <c r="G25" s="2">
        <v>90</v>
      </c>
    </row>
  </sheetData>
  <phoneticPr fontId="1" type="noConversion"/>
  <conditionalFormatting sqref="A3:G16">
    <cfRule type="expression" dxfId="0" priority="1">
      <formula>OR($C3&gt;=3,AVERAGE($D3:$G3)&gt;=90)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25"/>
  <sheetViews>
    <sheetView workbookViewId="0"/>
  </sheetViews>
  <sheetFormatPr defaultRowHeight="16.5" x14ac:dyDescent="0.3"/>
  <cols>
    <col min="1" max="2" width="10.25" customWidth="1"/>
    <col min="3" max="4" width="14" customWidth="1"/>
    <col min="5" max="5" width="12.125" customWidth="1"/>
    <col min="6" max="6" width="15.875" customWidth="1"/>
    <col min="7" max="7" width="12.625" customWidth="1"/>
  </cols>
  <sheetData>
    <row r="1" spans="1:7" x14ac:dyDescent="0.3">
      <c r="A1" t="s">
        <v>89</v>
      </c>
    </row>
    <row r="2" spans="1:7" x14ac:dyDescent="0.3">
      <c r="A2" s="8" t="s">
        <v>32</v>
      </c>
      <c r="B2" s="8" t="s">
        <v>20</v>
      </c>
      <c r="C2" s="8" t="s">
        <v>18</v>
      </c>
      <c r="D2" s="8" t="s">
        <v>61</v>
      </c>
      <c r="E2" s="8" t="s">
        <v>19</v>
      </c>
      <c r="F2" s="8" t="s">
        <v>63</v>
      </c>
      <c r="G2" s="8" t="s">
        <v>65</v>
      </c>
    </row>
    <row r="3" spans="1:7" x14ac:dyDescent="0.3">
      <c r="A3" s="9" t="s">
        <v>47</v>
      </c>
      <c r="B3" s="9">
        <v>1</v>
      </c>
      <c r="C3" s="9">
        <v>54</v>
      </c>
      <c r="D3" s="9">
        <v>55</v>
      </c>
      <c r="E3" s="9">
        <v>69</v>
      </c>
      <c r="F3" s="9">
        <v>90</v>
      </c>
      <c r="G3" s="9">
        <f>AVERAGE(C3:F3)</f>
        <v>67</v>
      </c>
    </row>
    <row r="4" spans="1:7" x14ac:dyDescent="0.3">
      <c r="A4" s="6" t="s">
        <v>48</v>
      </c>
      <c r="B4" s="6">
        <v>2</v>
      </c>
      <c r="C4" s="6">
        <v>95</v>
      </c>
      <c r="D4" s="6">
        <v>98</v>
      </c>
      <c r="E4" s="6">
        <v>86</v>
      </c>
      <c r="F4" s="6">
        <v>100</v>
      </c>
      <c r="G4" s="6">
        <f t="shared" ref="G4:G16" si="0">AVERAGE(C4:F4)</f>
        <v>94.75</v>
      </c>
    </row>
    <row r="5" spans="1:7" x14ac:dyDescent="0.3">
      <c r="A5" s="5" t="s">
        <v>49</v>
      </c>
      <c r="B5" s="5">
        <v>1</v>
      </c>
      <c r="C5" s="5">
        <v>95</v>
      </c>
      <c r="D5" s="5">
        <v>85</v>
      </c>
      <c r="E5" s="5">
        <v>50</v>
      </c>
      <c r="F5" s="5">
        <v>70</v>
      </c>
      <c r="G5" s="5">
        <f t="shared" si="0"/>
        <v>75</v>
      </c>
    </row>
    <row r="6" spans="1:7" x14ac:dyDescent="0.3">
      <c r="A6" s="6" t="s">
        <v>50</v>
      </c>
      <c r="B6" s="6">
        <v>3</v>
      </c>
      <c r="C6" s="6">
        <v>38</v>
      </c>
      <c r="D6" s="6">
        <v>75</v>
      </c>
      <c r="E6" s="6">
        <v>54</v>
      </c>
      <c r="F6" s="6">
        <v>94</v>
      </c>
      <c r="G6" s="6">
        <f t="shared" si="0"/>
        <v>65.25</v>
      </c>
    </row>
    <row r="7" spans="1:7" x14ac:dyDescent="0.3">
      <c r="A7" s="5" t="s">
        <v>51</v>
      </c>
      <c r="B7" s="5">
        <v>2</v>
      </c>
      <c r="C7" s="5">
        <v>24</v>
      </c>
      <c r="D7" s="5">
        <v>90</v>
      </c>
      <c r="E7" s="5">
        <v>48</v>
      </c>
      <c r="F7" s="5">
        <v>69</v>
      </c>
      <c r="G7" s="5">
        <f t="shared" si="0"/>
        <v>57.75</v>
      </c>
    </row>
    <row r="8" spans="1:7" x14ac:dyDescent="0.3">
      <c r="A8" s="6" t="s">
        <v>52</v>
      </c>
      <c r="B8" s="6">
        <v>1</v>
      </c>
      <c r="C8" s="6">
        <v>80</v>
      </c>
      <c r="D8" s="6">
        <v>83</v>
      </c>
      <c r="E8" s="6">
        <v>95</v>
      </c>
      <c r="F8" s="6">
        <v>24</v>
      </c>
      <c r="G8" s="6">
        <f t="shared" si="0"/>
        <v>70.5</v>
      </c>
    </row>
    <row r="9" spans="1:7" x14ac:dyDescent="0.3">
      <c r="A9" s="5" t="s">
        <v>53</v>
      </c>
      <c r="B9" s="5">
        <v>1</v>
      </c>
      <c r="C9" s="5">
        <v>75</v>
      </c>
      <c r="D9" s="5">
        <v>89</v>
      </c>
      <c r="E9" s="5">
        <v>98</v>
      </c>
      <c r="F9" s="5">
        <v>63</v>
      </c>
      <c r="G9" s="5">
        <f t="shared" si="0"/>
        <v>81.25</v>
      </c>
    </row>
    <row r="10" spans="1:7" x14ac:dyDescent="0.3">
      <c r="A10" s="6" t="s">
        <v>54</v>
      </c>
      <c r="B10" s="6">
        <v>1</v>
      </c>
      <c r="C10" s="6">
        <v>86</v>
      </c>
      <c r="D10" s="6">
        <v>75</v>
      </c>
      <c r="E10" s="6">
        <v>70</v>
      </c>
      <c r="F10" s="6">
        <v>75</v>
      </c>
      <c r="G10" s="6">
        <f t="shared" si="0"/>
        <v>76.5</v>
      </c>
    </row>
    <row r="11" spans="1:7" x14ac:dyDescent="0.3">
      <c r="A11" s="5" t="s">
        <v>55</v>
      </c>
      <c r="B11" s="5">
        <v>2</v>
      </c>
      <c r="C11" s="5">
        <v>98</v>
      </c>
      <c r="D11" s="5">
        <v>86</v>
      </c>
      <c r="E11" s="5">
        <v>89</v>
      </c>
      <c r="F11" s="5">
        <v>89</v>
      </c>
      <c r="G11" s="5">
        <f t="shared" si="0"/>
        <v>90.5</v>
      </c>
    </row>
    <row r="12" spans="1:7" x14ac:dyDescent="0.3">
      <c r="A12" s="6" t="s">
        <v>56</v>
      </c>
      <c r="B12" s="6">
        <v>1</v>
      </c>
      <c r="C12" s="6">
        <v>63</v>
      </c>
      <c r="D12" s="6">
        <v>89</v>
      </c>
      <c r="E12" s="6">
        <v>90</v>
      </c>
      <c r="F12" s="6">
        <v>54</v>
      </c>
      <c r="G12" s="6">
        <f t="shared" si="0"/>
        <v>74</v>
      </c>
    </row>
    <row r="13" spans="1:7" x14ac:dyDescent="0.3">
      <c r="A13" s="5" t="s">
        <v>57</v>
      </c>
      <c r="B13" s="5">
        <v>1</v>
      </c>
      <c r="C13" s="5">
        <v>55</v>
      </c>
      <c r="D13" s="5">
        <v>88</v>
      </c>
      <c r="E13" s="5">
        <v>55</v>
      </c>
      <c r="F13" s="5">
        <v>95</v>
      </c>
      <c r="G13" s="5">
        <f t="shared" si="0"/>
        <v>73.25</v>
      </c>
    </row>
    <row r="14" spans="1:7" x14ac:dyDescent="0.3">
      <c r="A14" s="6" t="s">
        <v>58</v>
      </c>
      <c r="B14" s="6">
        <v>3</v>
      </c>
      <c r="C14" s="6">
        <v>98</v>
      </c>
      <c r="D14" s="6">
        <v>95</v>
      </c>
      <c r="E14" s="6">
        <v>96</v>
      </c>
      <c r="F14" s="6">
        <v>100</v>
      </c>
      <c r="G14" s="6">
        <f t="shared" si="0"/>
        <v>97.25</v>
      </c>
    </row>
    <row r="15" spans="1:7" x14ac:dyDescent="0.3">
      <c r="A15" s="5" t="s">
        <v>59</v>
      </c>
      <c r="B15" s="5">
        <v>2</v>
      </c>
      <c r="C15" s="5">
        <v>54</v>
      </c>
      <c r="D15" s="5">
        <v>50</v>
      </c>
      <c r="E15" s="5">
        <v>53</v>
      </c>
      <c r="F15" s="5">
        <v>90</v>
      </c>
      <c r="G15" s="5">
        <f t="shared" si="0"/>
        <v>61.75</v>
      </c>
    </row>
    <row r="16" spans="1:7" x14ac:dyDescent="0.3">
      <c r="A16" s="7" t="s">
        <v>60</v>
      </c>
      <c r="B16" s="7">
        <v>1</v>
      </c>
      <c r="C16" s="7">
        <v>95</v>
      </c>
      <c r="D16" s="7">
        <v>95</v>
      </c>
      <c r="E16" s="7">
        <v>92</v>
      </c>
      <c r="F16" s="7">
        <v>66</v>
      </c>
      <c r="G16" s="7">
        <f t="shared" si="0"/>
        <v>87</v>
      </c>
    </row>
    <row r="18" spans="1:7" x14ac:dyDescent="0.3">
      <c r="A18" t="s">
        <v>90</v>
      </c>
    </row>
    <row r="19" spans="1:7" x14ac:dyDescent="0.3">
      <c r="A19" s="8" t="s">
        <v>32</v>
      </c>
      <c r="B19" s="8" t="s">
        <v>20</v>
      </c>
      <c r="C19" s="8" t="s">
        <v>18</v>
      </c>
      <c r="D19" s="8" t="s">
        <v>61</v>
      </c>
      <c r="E19" s="8" t="s">
        <v>19</v>
      </c>
      <c r="F19" s="8" t="s">
        <v>63</v>
      </c>
      <c r="G19" s="8" t="s">
        <v>65</v>
      </c>
    </row>
    <row r="20" spans="1:7" x14ac:dyDescent="0.3">
      <c r="A20" s="9" t="s">
        <v>91</v>
      </c>
      <c r="B20" s="9">
        <v>3</v>
      </c>
      <c r="C20" s="9">
        <v>85</v>
      </c>
      <c r="D20" s="9">
        <v>98</v>
      </c>
      <c r="E20" s="9">
        <v>48</v>
      </c>
      <c r="F20" s="9">
        <v>90</v>
      </c>
      <c r="G20" s="9">
        <f t="shared" ref="G20:G25" si="1">AVERAGE(C20:F20)</f>
        <v>80.25</v>
      </c>
    </row>
    <row r="21" spans="1:7" x14ac:dyDescent="0.3">
      <c r="A21" s="6" t="s">
        <v>92</v>
      </c>
      <c r="B21" s="6">
        <v>1</v>
      </c>
      <c r="C21" s="6">
        <v>75</v>
      </c>
      <c r="D21" s="6">
        <v>75</v>
      </c>
      <c r="E21" s="6">
        <v>90</v>
      </c>
      <c r="F21" s="6">
        <v>70</v>
      </c>
      <c r="G21" s="6">
        <f t="shared" si="1"/>
        <v>77.5</v>
      </c>
    </row>
    <row r="22" spans="1:7" x14ac:dyDescent="0.3">
      <c r="A22" s="5" t="s">
        <v>93</v>
      </c>
      <c r="B22" s="5">
        <v>1</v>
      </c>
      <c r="C22" s="5">
        <v>95</v>
      </c>
      <c r="D22" s="5">
        <v>83</v>
      </c>
      <c r="E22" s="5">
        <v>53</v>
      </c>
      <c r="F22" s="5">
        <v>24</v>
      </c>
      <c r="G22" s="5">
        <f t="shared" si="1"/>
        <v>63.75</v>
      </c>
    </row>
    <row r="23" spans="1:7" x14ac:dyDescent="0.3">
      <c r="A23" s="6" t="s">
        <v>94</v>
      </c>
      <c r="B23" s="6">
        <v>2</v>
      </c>
      <c r="C23" s="6">
        <v>24</v>
      </c>
      <c r="D23" s="6">
        <v>85</v>
      </c>
      <c r="E23" s="6">
        <v>98</v>
      </c>
      <c r="F23" s="6">
        <v>69</v>
      </c>
      <c r="G23" s="6">
        <f t="shared" si="1"/>
        <v>69</v>
      </c>
    </row>
    <row r="24" spans="1:7" x14ac:dyDescent="0.3">
      <c r="A24" s="5" t="s">
        <v>95</v>
      </c>
      <c r="B24" s="5">
        <v>1</v>
      </c>
      <c r="C24" s="5">
        <v>38</v>
      </c>
      <c r="D24" s="5">
        <v>55</v>
      </c>
      <c r="E24" s="5">
        <v>50</v>
      </c>
      <c r="F24" s="5">
        <v>94</v>
      </c>
      <c r="G24" s="5">
        <f t="shared" si="1"/>
        <v>59.25</v>
      </c>
    </row>
    <row r="25" spans="1:7" x14ac:dyDescent="0.3">
      <c r="A25" s="7" t="s">
        <v>96</v>
      </c>
      <c r="B25" s="7">
        <v>3</v>
      </c>
      <c r="C25" s="7">
        <v>80</v>
      </c>
      <c r="D25" s="7">
        <v>98</v>
      </c>
      <c r="E25" s="7">
        <v>69</v>
      </c>
      <c r="F25" s="7">
        <v>100</v>
      </c>
      <c r="G25" s="7">
        <f t="shared" si="1"/>
        <v>86.75</v>
      </c>
    </row>
  </sheetData>
  <phoneticPr fontId="1" type="noConversion"/>
  <printOptions headings="1"/>
  <pageMargins left="0.70866141732283472" right="0.70866141732283472" top="0.74803149606299213" bottom="0.74803149606299213" header="0.31496062992125984" footer="0.31496062992125984"/>
  <pageSetup paperSize="9" scale="86" orientation="portrait" verticalDpi="0" r:id="rId1"/>
  <headerFooter>
    <oddHeader>&amp;R&amp;D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5"/>
  <sheetViews>
    <sheetView workbookViewId="0"/>
  </sheetViews>
  <sheetFormatPr defaultRowHeight="16.5" x14ac:dyDescent="0.3"/>
  <cols>
    <col min="2" max="2" width="14" customWidth="1"/>
    <col min="3" max="3" width="13.25" customWidth="1"/>
    <col min="4" max="4" width="13" bestFit="1" customWidth="1"/>
    <col min="5" max="5" width="11" bestFit="1" customWidth="1"/>
    <col min="6" max="6" width="8.625" customWidth="1"/>
    <col min="7" max="7" width="10.5" customWidth="1"/>
    <col min="8" max="8" width="9.625" bestFit="1" customWidth="1"/>
    <col min="9" max="9" width="11.625" bestFit="1" customWidth="1"/>
    <col min="10" max="10" width="10.125" customWidth="1"/>
  </cols>
  <sheetData>
    <row r="1" spans="1:10" x14ac:dyDescent="0.3">
      <c r="A1" t="s">
        <v>21</v>
      </c>
    </row>
    <row r="2" spans="1:10" x14ac:dyDescent="0.3">
      <c r="A2" s="2" t="s">
        <v>15</v>
      </c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4" t="s">
        <v>77</v>
      </c>
      <c r="J2" s="4" t="s">
        <v>31</v>
      </c>
    </row>
    <row r="3" spans="1:10" x14ac:dyDescent="0.3">
      <c r="A3" s="2" t="s">
        <v>25</v>
      </c>
      <c r="B3" s="2">
        <v>2513</v>
      </c>
      <c r="C3" s="3">
        <v>54</v>
      </c>
      <c r="D3" s="3">
        <v>95</v>
      </c>
      <c r="E3" s="3">
        <v>55</v>
      </c>
      <c r="F3" s="3">
        <v>69</v>
      </c>
      <c r="G3" s="3">
        <f>SUM(C3:F3)</f>
        <v>273</v>
      </c>
      <c r="H3" s="3">
        <v>2</v>
      </c>
      <c r="I3" s="2" t="str">
        <f>IF(AND(AVERAGE(C3:F3)&gt;=AVERAGE($C$3:$F$21),ISBLANK(H3)),"통과","재시험")</f>
        <v>재시험</v>
      </c>
      <c r="J3" s="2" t="str">
        <f>fn이해수준(A3,G3)</f>
        <v>부족39</v>
      </c>
    </row>
    <row r="4" spans="1:10" x14ac:dyDescent="0.3">
      <c r="A4" s="2" t="s">
        <v>22</v>
      </c>
      <c r="B4" s="2">
        <v>3534</v>
      </c>
      <c r="C4" s="3">
        <v>95</v>
      </c>
      <c r="D4" s="3">
        <v>98</v>
      </c>
      <c r="E4" s="3">
        <v>98</v>
      </c>
      <c r="F4" s="3">
        <v>86</v>
      </c>
      <c r="G4" s="3">
        <f t="shared" ref="G4:G21" si="0">SUM(C4:F4)</f>
        <v>377</v>
      </c>
      <c r="H4" s="3"/>
      <c r="I4" s="2" t="str">
        <f t="shared" ref="I4:I21" si="1">IF(AND(AVERAGE(C4:F4)&gt;=AVERAGE($C$3:$F$21),ISBLANK(H4)),"통과","재시험")</f>
        <v>통과</v>
      </c>
      <c r="J4" s="2" t="str">
        <f t="shared" ref="J4:J21" si="2">fn이해수준(A4,G4)</f>
        <v>우수34</v>
      </c>
    </row>
    <row r="5" spans="1:10" x14ac:dyDescent="0.3">
      <c r="A5" s="2" t="s">
        <v>26</v>
      </c>
      <c r="B5" s="2">
        <v>7856</v>
      </c>
      <c r="C5" s="3">
        <v>95</v>
      </c>
      <c r="D5" s="3">
        <v>54</v>
      </c>
      <c r="E5" s="3">
        <v>50</v>
      </c>
      <c r="F5" s="3">
        <v>54</v>
      </c>
      <c r="G5" s="3">
        <f t="shared" si="0"/>
        <v>253</v>
      </c>
      <c r="H5" s="3"/>
      <c r="I5" s="2" t="str">
        <f t="shared" si="1"/>
        <v>재시험</v>
      </c>
      <c r="J5" s="2" t="str">
        <f t="shared" si="2"/>
        <v>부족46</v>
      </c>
    </row>
    <row r="6" spans="1:10" x14ac:dyDescent="0.3">
      <c r="A6" s="2" t="s">
        <v>24</v>
      </c>
      <c r="B6" s="2">
        <v>7535</v>
      </c>
      <c r="C6" s="3">
        <v>38</v>
      </c>
      <c r="D6" s="3">
        <v>75</v>
      </c>
      <c r="E6" s="3">
        <v>75</v>
      </c>
      <c r="F6" s="3">
        <v>54</v>
      </c>
      <c r="G6" s="3">
        <f t="shared" si="0"/>
        <v>242</v>
      </c>
      <c r="H6" s="3">
        <v>1</v>
      </c>
      <c r="I6" s="2" t="str">
        <f t="shared" si="1"/>
        <v>재시험</v>
      </c>
      <c r="J6" s="2" t="str">
        <f t="shared" si="2"/>
        <v>부족78</v>
      </c>
    </row>
    <row r="7" spans="1:10" x14ac:dyDescent="0.3">
      <c r="A7" s="2" t="s">
        <v>26</v>
      </c>
      <c r="B7" s="2">
        <v>3545</v>
      </c>
      <c r="C7" s="3">
        <v>24</v>
      </c>
      <c r="D7" s="3">
        <v>89</v>
      </c>
      <c r="E7" s="3">
        <v>90</v>
      </c>
      <c r="F7" s="3">
        <v>48</v>
      </c>
      <c r="G7" s="3">
        <f t="shared" si="0"/>
        <v>251</v>
      </c>
      <c r="H7" s="3">
        <v>1</v>
      </c>
      <c r="I7" s="2" t="str">
        <f t="shared" si="1"/>
        <v>재시험</v>
      </c>
      <c r="J7" s="2" t="str">
        <f t="shared" si="2"/>
        <v>부족46</v>
      </c>
    </row>
    <row r="8" spans="1:10" x14ac:dyDescent="0.3">
      <c r="A8" s="2" t="s">
        <v>25</v>
      </c>
      <c r="B8" s="2">
        <v>6718</v>
      </c>
      <c r="C8" s="3">
        <v>80</v>
      </c>
      <c r="D8" s="3">
        <v>82</v>
      </c>
      <c r="E8" s="3">
        <v>83</v>
      </c>
      <c r="F8" s="3">
        <v>95</v>
      </c>
      <c r="G8" s="3">
        <f t="shared" si="0"/>
        <v>340</v>
      </c>
      <c r="H8" s="3"/>
      <c r="I8" s="2" t="str">
        <f t="shared" si="1"/>
        <v>통과</v>
      </c>
      <c r="J8" s="2" t="str">
        <f t="shared" si="2"/>
        <v>보통39</v>
      </c>
    </row>
    <row r="9" spans="1:10" x14ac:dyDescent="0.3">
      <c r="A9" s="2" t="s">
        <v>24</v>
      </c>
      <c r="B9" s="2">
        <v>6445</v>
      </c>
      <c r="C9" s="3">
        <v>75</v>
      </c>
      <c r="D9" s="3">
        <v>79</v>
      </c>
      <c r="E9" s="3">
        <v>50</v>
      </c>
      <c r="F9" s="3">
        <v>98</v>
      </c>
      <c r="G9" s="3">
        <f t="shared" si="0"/>
        <v>302</v>
      </c>
      <c r="H9" s="3"/>
      <c r="I9" s="2" t="str">
        <f t="shared" si="1"/>
        <v>재시험</v>
      </c>
      <c r="J9" s="2" t="str">
        <f t="shared" si="2"/>
        <v>보통78</v>
      </c>
    </row>
    <row r="10" spans="1:10" x14ac:dyDescent="0.3">
      <c r="A10" s="2" t="s">
        <v>27</v>
      </c>
      <c r="B10" s="2">
        <v>3520</v>
      </c>
      <c r="C10" s="3">
        <v>86</v>
      </c>
      <c r="D10" s="3">
        <v>45</v>
      </c>
      <c r="E10" s="3">
        <v>75</v>
      </c>
      <c r="F10" s="3">
        <v>70</v>
      </c>
      <c r="G10" s="3">
        <f t="shared" si="0"/>
        <v>276</v>
      </c>
      <c r="H10" s="3">
        <v>3</v>
      </c>
      <c r="I10" s="2" t="str">
        <f t="shared" si="1"/>
        <v>재시험</v>
      </c>
      <c r="J10" s="2" t="str">
        <f t="shared" si="2"/>
        <v>부족43</v>
      </c>
    </row>
    <row r="11" spans="1:10" x14ac:dyDescent="0.3">
      <c r="A11" s="2" t="s">
        <v>27</v>
      </c>
      <c r="B11" s="2">
        <v>9621</v>
      </c>
      <c r="C11" s="3">
        <v>98</v>
      </c>
      <c r="D11" s="3">
        <v>96</v>
      </c>
      <c r="E11" s="3">
        <v>86</v>
      </c>
      <c r="F11" s="3">
        <v>89</v>
      </c>
      <c r="G11" s="3">
        <f t="shared" si="0"/>
        <v>369</v>
      </c>
      <c r="H11" s="3"/>
      <c r="I11" s="2" t="str">
        <f t="shared" si="1"/>
        <v>통과</v>
      </c>
      <c r="J11" s="2" t="str">
        <f t="shared" si="2"/>
        <v>우수43</v>
      </c>
    </row>
    <row r="12" spans="1:10" x14ac:dyDescent="0.3">
      <c r="A12" s="2" t="s">
        <v>23</v>
      </c>
      <c r="B12" s="2">
        <v>4554</v>
      </c>
      <c r="C12" s="3">
        <v>63</v>
      </c>
      <c r="D12" s="3">
        <v>94</v>
      </c>
      <c r="E12" s="3">
        <v>89</v>
      </c>
      <c r="F12" s="3">
        <v>90</v>
      </c>
      <c r="G12" s="3">
        <f t="shared" si="0"/>
        <v>336</v>
      </c>
      <c r="H12" s="3"/>
      <c r="I12" s="2" t="str">
        <f t="shared" si="1"/>
        <v>통과</v>
      </c>
      <c r="J12" s="2" t="str">
        <f t="shared" si="2"/>
        <v>보통33</v>
      </c>
    </row>
    <row r="13" spans="1:10" x14ac:dyDescent="0.3">
      <c r="A13" s="2" t="s">
        <v>23</v>
      </c>
      <c r="B13" s="2">
        <v>7875</v>
      </c>
      <c r="C13" s="3">
        <v>55</v>
      </c>
      <c r="D13" s="3">
        <v>84</v>
      </c>
      <c r="E13" s="3">
        <v>63</v>
      </c>
      <c r="F13" s="3">
        <v>55</v>
      </c>
      <c r="G13" s="3">
        <f t="shared" si="0"/>
        <v>257</v>
      </c>
      <c r="H13" s="3">
        <v>1</v>
      </c>
      <c r="I13" s="2" t="str">
        <f t="shared" si="1"/>
        <v>재시험</v>
      </c>
      <c r="J13" s="2" t="str">
        <f t="shared" si="2"/>
        <v>부족33</v>
      </c>
    </row>
    <row r="14" spans="1:10" x14ac:dyDescent="0.3">
      <c r="A14" s="2" t="s">
        <v>25</v>
      </c>
      <c r="B14" s="2">
        <v>9034</v>
      </c>
      <c r="C14" s="3">
        <v>98</v>
      </c>
      <c r="D14" s="3">
        <v>100</v>
      </c>
      <c r="E14" s="3">
        <v>95</v>
      </c>
      <c r="F14" s="3">
        <v>96</v>
      </c>
      <c r="G14" s="3">
        <f t="shared" si="0"/>
        <v>389</v>
      </c>
      <c r="H14" s="3"/>
      <c r="I14" s="2" t="str">
        <f t="shared" si="1"/>
        <v>통과</v>
      </c>
      <c r="J14" s="2" t="str">
        <f t="shared" si="2"/>
        <v>우수39</v>
      </c>
    </row>
    <row r="15" spans="1:10" x14ac:dyDescent="0.3">
      <c r="A15" s="2" t="s">
        <v>24</v>
      </c>
      <c r="B15" s="2">
        <v>4525</v>
      </c>
      <c r="C15" s="3">
        <v>54</v>
      </c>
      <c r="D15" s="3">
        <v>59</v>
      </c>
      <c r="E15" s="3">
        <v>50</v>
      </c>
      <c r="F15" s="3">
        <v>54</v>
      </c>
      <c r="G15" s="3">
        <f t="shared" si="0"/>
        <v>217</v>
      </c>
      <c r="H15" s="3"/>
      <c r="I15" s="2" t="str">
        <f t="shared" si="1"/>
        <v>재시험</v>
      </c>
      <c r="J15" s="2" t="str">
        <f t="shared" si="2"/>
        <v>부족78</v>
      </c>
    </row>
    <row r="16" spans="1:10" x14ac:dyDescent="0.3">
      <c r="A16" s="2" t="s">
        <v>27</v>
      </c>
      <c r="B16" s="2">
        <v>5346</v>
      </c>
      <c r="C16" s="3">
        <v>95</v>
      </c>
      <c r="D16" s="3">
        <v>97</v>
      </c>
      <c r="E16" s="3">
        <v>95</v>
      </c>
      <c r="F16" s="3">
        <v>92</v>
      </c>
      <c r="G16" s="3">
        <f t="shared" si="0"/>
        <v>379</v>
      </c>
      <c r="H16" s="3">
        <v>2</v>
      </c>
      <c r="I16" s="2" t="str">
        <f t="shared" si="1"/>
        <v>재시험</v>
      </c>
      <c r="J16" s="2" t="str">
        <f t="shared" si="2"/>
        <v>우수43</v>
      </c>
    </row>
    <row r="17" spans="1:10" x14ac:dyDescent="0.3">
      <c r="A17" s="2" t="s">
        <v>25</v>
      </c>
      <c r="B17" s="2">
        <v>5785</v>
      </c>
      <c r="C17" s="3">
        <v>90</v>
      </c>
      <c r="D17" s="3">
        <v>69</v>
      </c>
      <c r="E17" s="3">
        <v>89</v>
      </c>
      <c r="F17" s="3">
        <v>90</v>
      </c>
      <c r="G17" s="3">
        <f t="shared" si="0"/>
        <v>338</v>
      </c>
      <c r="H17" s="3"/>
      <c r="I17" s="2" t="str">
        <f t="shared" si="1"/>
        <v>통과</v>
      </c>
      <c r="J17" s="2" t="str">
        <f t="shared" si="2"/>
        <v>보통39</v>
      </c>
    </row>
    <row r="18" spans="1:10" x14ac:dyDescent="0.3">
      <c r="A18" s="2" t="s">
        <v>23</v>
      </c>
      <c r="B18" s="2">
        <v>2595</v>
      </c>
      <c r="C18" s="3">
        <v>100</v>
      </c>
      <c r="D18" s="3">
        <v>24</v>
      </c>
      <c r="E18" s="3">
        <v>54</v>
      </c>
      <c r="F18" s="3">
        <v>66</v>
      </c>
      <c r="G18" s="3">
        <f t="shared" si="0"/>
        <v>244</v>
      </c>
      <c r="H18" s="3"/>
      <c r="I18" s="2" t="str">
        <f t="shared" si="1"/>
        <v>재시험</v>
      </c>
      <c r="J18" s="2" t="str">
        <f t="shared" si="2"/>
        <v>부족33</v>
      </c>
    </row>
    <row r="19" spans="1:10" x14ac:dyDescent="0.3">
      <c r="A19" s="2" t="s">
        <v>25</v>
      </c>
      <c r="B19" s="2">
        <v>7941</v>
      </c>
      <c r="C19" s="3">
        <v>70</v>
      </c>
      <c r="D19" s="3">
        <v>63</v>
      </c>
      <c r="E19" s="3">
        <v>95</v>
      </c>
      <c r="F19" s="3">
        <v>63</v>
      </c>
      <c r="G19" s="3">
        <f t="shared" si="0"/>
        <v>291</v>
      </c>
      <c r="H19" s="3">
        <v>1</v>
      </c>
      <c r="I19" s="2" t="str">
        <f t="shared" si="1"/>
        <v>재시험</v>
      </c>
      <c r="J19" s="2" t="str">
        <f t="shared" si="2"/>
        <v>부족39</v>
      </c>
    </row>
    <row r="20" spans="1:10" x14ac:dyDescent="0.3">
      <c r="A20" s="2" t="s">
        <v>24</v>
      </c>
      <c r="B20" s="2">
        <v>3456</v>
      </c>
      <c r="C20" s="3">
        <v>94</v>
      </c>
      <c r="D20" s="3">
        <v>75</v>
      </c>
      <c r="E20" s="3">
        <v>100</v>
      </c>
      <c r="F20" s="3">
        <v>79</v>
      </c>
      <c r="G20" s="3">
        <f t="shared" si="0"/>
        <v>348</v>
      </c>
      <c r="H20" s="3"/>
      <c r="I20" s="2" t="str">
        <f t="shared" si="1"/>
        <v>통과</v>
      </c>
      <c r="J20" s="2" t="str">
        <f t="shared" si="2"/>
        <v>보통78</v>
      </c>
    </row>
    <row r="21" spans="1:10" x14ac:dyDescent="0.3">
      <c r="A21" s="2" t="s">
        <v>24</v>
      </c>
      <c r="B21" s="2">
        <v>5615</v>
      </c>
      <c r="C21" s="3">
        <v>75</v>
      </c>
      <c r="D21" s="3">
        <v>86</v>
      </c>
      <c r="E21" s="3">
        <v>96</v>
      </c>
      <c r="F21" s="3">
        <v>95</v>
      </c>
      <c r="G21" s="3">
        <f t="shared" si="0"/>
        <v>352</v>
      </c>
      <c r="H21" s="3">
        <v>2</v>
      </c>
      <c r="I21" s="2" t="str">
        <f t="shared" si="1"/>
        <v>재시험</v>
      </c>
      <c r="J21" s="2" t="str">
        <f t="shared" si="2"/>
        <v>보통78</v>
      </c>
    </row>
    <row r="23" spans="1:10" x14ac:dyDescent="0.3">
      <c r="A23" t="s">
        <v>78</v>
      </c>
      <c r="G23" t="s">
        <v>79</v>
      </c>
    </row>
    <row r="24" spans="1:10" x14ac:dyDescent="0.3">
      <c r="A24" s="2" t="s">
        <v>7</v>
      </c>
      <c r="B24" s="2" t="s">
        <v>8</v>
      </c>
      <c r="C24" s="4" t="s">
        <v>12</v>
      </c>
      <c r="D24" s="4" t="s">
        <v>13</v>
      </c>
      <c r="G24" s="2" t="s">
        <v>14</v>
      </c>
      <c r="H24" s="4" t="s">
        <v>16</v>
      </c>
      <c r="I24" s="4" t="s">
        <v>67</v>
      </c>
    </row>
    <row r="25" spans="1:10" x14ac:dyDescent="0.3">
      <c r="A25" s="2" t="s">
        <v>28</v>
      </c>
      <c r="B25" s="2" t="s">
        <v>9</v>
      </c>
      <c r="C25" s="2" t="str">
        <f>COUNTIFS(D$3:D$21,"&gt;=90",$A$3:$A$21,"?"&amp;$A25&amp;"*")&amp;"명"</f>
        <v>2명</v>
      </c>
      <c r="D25" s="2" t="str">
        <f>COUNTIFS(E$3:E$21,"&gt;=90",$A$3:$A$21,"?"&amp;$A25&amp;"*")&amp;"명"</f>
        <v>2명</v>
      </c>
      <c r="G25" s="2" t="s">
        <v>22</v>
      </c>
      <c r="H25" s="3">
        <f t="array" ref="H25">ROUND(AVERAGE(IF($A$3:$A$21=$G25,G$3:G$21)),1)</f>
        <v>377</v>
      </c>
      <c r="I25" s="3">
        <f t="array" ref="I25">ROUND(AVERAGE(IF($A$3:$A$21=$G25,H$3:H$21)),1)</f>
        <v>0</v>
      </c>
    </row>
    <row r="26" spans="1:10" x14ac:dyDescent="0.3">
      <c r="A26" s="2" t="s">
        <v>29</v>
      </c>
      <c r="B26" s="2" t="s">
        <v>10</v>
      </c>
      <c r="C26" s="2" t="str">
        <f t="shared" ref="C26:D27" si="3">COUNTIFS(D$3:D$21,"&gt;=90",$A$3:$A$21,"?"&amp;$A26&amp;"*")&amp;"명"</f>
        <v>2명</v>
      </c>
      <c r="D26" s="2" t="str">
        <f t="shared" si="3"/>
        <v>4명</v>
      </c>
      <c r="G26" s="2" t="s">
        <v>25</v>
      </c>
      <c r="H26" s="3">
        <f t="array" ref="H26">ROUND(AVERAGE(IF($A$3:$A$21=$G26,G$3:G$21)),1)</f>
        <v>326.2</v>
      </c>
      <c r="I26" s="3">
        <f t="array" ref="I26">ROUND(AVERAGE(IF($A$3:$A$21=$G26,H$3:H$21)),1)</f>
        <v>0.6</v>
      </c>
    </row>
    <row r="27" spans="1:10" x14ac:dyDescent="0.3">
      <c r="A27" s="2" t="s">
        <v>30</v>
      </c>
      <c r="B27" s="2" t="s">
        <v>11</v>
      </c>
      <c r="C27" s="2" t="str">
        <f t="shared" si="3"/>
        <v>2명</v>
      </c>
      <c r="D27" s="2" t="str">
        <f t="shared" si="3"/>
        <v>1명</v>
      </c>
      <c r="G27" s="2" t="s">
        <v>26</v>
      </c>
      <c r="H27" s="3">
        <f t="array" ref="H27">ROUND(AVERAGE(IF($A$3:$A$21=$G27,G$3:G$21)),1)</f>
        <v>252</v>
      </c>
      <c r="I27" s="3">
        <f t="array" ref="I27">ROUND(AVERAGE(IF($A$3:$A$21=$G27,H$3:H$21)),1)</f>
        <v>0.5</v>
      </c>
    </row>
    <row r="28" spans="1:10" x14ac:dyDescent="0.3">
      <c r="G28" s="2" t="s">
        <v>23</v>
      </c>
      <c r="H28" s="3">
        <f t="array" ref="H28">ROUND(AVERAGE(IF($A$3:$A$21=$G28,G$3:G$21)),1)</f>
        <v>279</v>
      </c>
      <c r="I28" s="3">
        <f t="array" ref="I28">ROUND(AVERAGE(IF($A$3:$A$21=$G28,H$3:H$21)),1)</f>
        <v>0.3</v>
      </c>
    </row>
    <row r="29" spans="1:10" x14ac:dyDescent="0.3">
      <c r="A29" t="s">
        <v>80</v>
      </c>
      <c r="G29" s="2" t="s">
        <v>24</v>
      </c>
      <c r="H29" s="3">
        <f t="array" ref="H29">ROUND(AVERAGE(IF($A$3:$A$21=$G29,G$3:G$21)),1)</f>
        <v>292.2</v>
      </c>
      <c r="I29" s="3">
        <f t="array" ref="I29">ROUND(AVERAGE(IF($A$3:$A$21=$G29,H$3:H$21)),1)</f>
        <v>0.6</v>
      </c>
    </row>
    <row r="30" spans="1:10" x14ac:dyDescent="0.3">
      <c r="A30" s="2" t="s">
        <v>17</v>
      </c>
      <c r="B30" s="4" t="s">
        <v>1</v>
      </c>
      <c r="C30" s="4" t="s">
        <v>2</v>
      </c>
      <c r="D30" s="4" t="s">
        <v>3</v>
      </c>
      <c r="E30" s="4" t="s">
        <v>4</v>
      </c>
      <c r="G30" s="2" t="s">
        <v>27</v>
      </c>
      <c r="H30" s="3">
        <f t="array" ref="H30">ROUND(AVERAGE(IF($A$3:$A$21=$G30,G$3:G$21)),1)</f>
        <v>341.3</v>
      </c>
      <c r="I30" s="3">
        <f t="array" ref="I30">ROUND(AVERAGE(IF($A$3:$A$21=$G30,H$3:H$21)),1)</f>
        <v>1.7</v>
      </c>
    </row>
    <row r="31" spans="1:10" x14ac:dyDescent="0.3">
      <c r="A31" s="2">
        <v>60</v>
      </c>
      <c r="B31" s="3" t="str">
        <f t="array" ref="B31:B35">REPT("★",FREQUENCY(C3:C21,$A$31:$A$35))</f>
        <v>★★★★★</v>
      </c>
      <c r="C31" s="3" t="str">
        <f t="array" ref="C31:C35">REPT("★",FREQUENCY(D3:D21,$A$31:$A$35))</f>
        <v>★★★★</v>
      </c>
      <c r="D31" s="3" t="str">
        <f t="array" ref="D31:D35">REPT("★",FREQUENCY(E3:E21,$A$31:$A$35))</f>
        <v>★★★★★</v>
      </c>
      <c r="E31" s="3" t="str">
        <f t="array" ref="E31:E35">REPT("★",FREQUENCY(F3:F21,$A$31:$A$35))</f>
        <v>★★★★★</v>
      </c>
    </row>
    <row r="32" spans="1:10" x14ac:dyDescent="0.3">
      <c r="A32" s="2">
        <v>70</v>
      </c>
      <c r="B32" s="3" t="str">
        <v>★★</v>
      </c>
      <c r="C32" s="3" t="str">
        <v>★★</v>
      </c>
      <c r="D32" s="3" t="str">
        <v>★</v>
      </c>
      <c r="E32" s="3" t="str">
        <v>★★★★</v>
      </c>
    </row>
    <row r="33" spans="1:5" x14ac:dyDescent="0.3">
      <c r="A33" s="2">
        <v>80</v>
      </c>
      <c r="B33" s="3" t="str">
        <v>★★★</v>
      </c>
      <c r="C33" s="3" t="str">
        <v>★★★</v>
      </c>
      <c r="D33" s="3" t="str">
        <v>★★</v>
      </c>
      <c r="E33" s="3" t="str">
        <v>★</v>
      </c>
    </row>
    <row r="34" spans="1:5" x14ac:dyDescent="0.3">
      <c r="A34" s="2">
        <v>90</v>
      </c>
      <c r="B34" s="3" t="str">
        <v>★★</v>
      </c>
      <c r="C34" s="3" t="str">
        <v>★★★★</v>
      </c>
      <c r="D34" s="3" t="str">
        <v>★★★★★</v>
      </c>
      <c r="E34" s="3" t="str">
        <v>★★★★</v>
      </c>
    </row>
    <row r="35" spans="1:5" x14ac:dyDescent="0.3">
      <c r="A35" s="2">
        <v>100</v>
      </c>
      <c r="B35" s="3" t="str">
        <v>★★★★★★★</v>
      </c>
      <c r="C35" s="3" t="str">
        <v>★★★★★★</v>
      </c>
      <c r="D35" s="3" t="str">
        <v>★★★★★★</v>
      </c>
      <c r="E35" s="3" t="str">
        <v>★★★★★</v>
      </c>
    </row>
  </sheetData>
  <sortState ref="B38:B56">
    <sortCondition ref="B38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K24"/>
  <sheetViews>
    <sheetView workbookViewId="0"/>
  </sheetViews>
  <sheetFormatPr defaultRowHeight="16.5" x14ac:dyDescent="0.3"/>
  <cols>
    <col min="3" max="3" width="14.125" customWidth="1"/>
    <col min="4" max="4" width="13" bestFit="1" customWidth="1"/>
    <col min="5" max="5" width="11" bestFit="1" customWidth="1"/>
    <col min="7" max="7" width="15.125" bestFit="1" customWidth="1"/>
    <col min="8" max="8" width="5.25" customWidth="1"/>
    <col min="9" max="9" width="23.875" bestFit="1" customWidth="1"/>
    <col min="10" max="10" width="11.125" customWidth="1"/>
    <col min="11" max="11" width="19.375" customWidth="1"/>
  </cols>
  <sheetData>
    <row r="2" spans="1:11" x14ac:dyDescent="0.3">
      <c r="A2" s="2" t="s">
        <v>33</v>
      </c>
      <c r="B2" s="2" t="s">
        <v>32</v>
      </c>
      <c r="C2" s="2" t="s">
        <v>99</v>
      </c>
      <c r="D2" s="2" t="s">
        <v>18</v>
      </c>
      <c r="E2" s="2" t="s">
        <v>61</v>
      </c>
      <c r="F2" s="2" t="s">
        <v>19</v>
      </c>
      <c r="G2" s="2" t="s">
        <v>63</v>
      </c>
      <c r="I2" s="10" t="s">
        <v>98</v>
      </c>
      <c r="J2" t="s">
        <v>109</v>
      </c>
      <c r="K2" t="s">
        <v>100</v>
      </c>
    </row>
    <row r="3" spans="1:11" x14ac:dyDescent="0.3">
      <c r="A3" s="13" t="s">
        <v>64</v>
      </c>
      <c r="B3" s="13" t="s">
        <v>47</v>
      </c>
      <c r="C3" s="14">
        <v>42948</v>
      </c>
      <c r="D3" s="13">
        <v>54</v>
      </c>
      <c r="E3" s="13">
        <v>55</v>
      </c>
      <c r="F3" s="13">
        <v>69</v>
      </c>
      <c r="G3" s="13">
        <v>90</v>
      </c>
      <c r="I3" s="16" t="s">
        <v>110</v>
      </c>
      <c r="J3" s="11">
        <v>4</v>
      </c>
      <c r="K3" s="17">
        <v>70.5</v>
      </c>
    </row>
    <row r="4" spans="1:11" x14ac:dyDescent="0.3">
      <c r="A4" s="13" t="s">
        <v>42</v>
      </c>
      <c r="B4" s="13" t="s">
        <v>48</v>
      </c>
      <c r="C4" s="14">
        <v>42958</v>
      </c>
      <c r="D4" s="13">
        <v>95</v>
      </c>
      <c r="E4" s="13">
        <v>98</v>
      </c>
      <c r="F4" s="13">
        <v>86</v>
      </c>
      <c r="G4" s="13">
        <v>100</v>
      </c>
      <c r="I4" s="16" t="s">
        <v>111</v>
      </c>
      <c r="J4" s="11">
        <v>5</v>
      </c>
      <c r="K4" s="17">
        <v>52.2</v>
      </c>
    </row>
    <row r="5" spans="1:11" x14ac:dyDescent="0.3">
      <c r="A5" s="13" t="s">
        <v>40</v>
      </c>
      <c r="B5" s="13" t="s">
        <v>49</v>
      </c>
      <c r="C5" s="14">
        <v>42962</v>
      </c>
      <c r="D5" s="13">
        <v>95</v>
      </c>
      <c r="E5" s="13">
        <v>85</v>
      </c>
      <c r="F5" s="13">
        <v>50</v>
      </c>
      <c r="G5" s="13">
        <v>70</v>
      </c>
      <c r="I5" s="16" t="s">
        <v>112</v>
      </c>
      <c r="J5" s="11">
        <v>4</v>
      </c>
      <c r="K5" s="17">
        <v>78.25</v>
      </c>
    </row>
    <row r="6" spans="1:11" x14ac:dyDescent="0.3">
      <c r="A6" s="13" t="s">
        <v>37</v>
      </c>
      <c r="B6" s="13" t="s">
        <v>50</v>
      </c>
      <c r="C6" s="14">
        <v>42962</v>
      </c>
      <c r="D6" s="13">
        <v>38</v>
      </c>
      <c r="E6" s="13">
        <v>75</v>
      </c>
      <c r="F6" s="13">
        <v>54</v>
      </c>
      <c r="G6" s="13">
        <v>94</v>
      </c>
      <c r="I6" s="16" t="s">
        <v>113</v>
      </c>
      <c r="J6" s="11">
        <v>5</v>
      </c>
      <c r="K6" s="17">
        <v>70.400000000000006</v>
      </c>
    </row>
    <row r="7" spans="1:11" x14ac:dyDescent="0.3">
      <c r="A7" s="13" t="s">
        <v>46</v>
      </c>
      <c r="B7" s="13" t="s">
        <v>51</v>
      </c>
      <c r="C7" s="14">
        <v>42968</v>
      </c>
      <c r="D7" s="13">
        <v>24</v>
      </c>
      <c r="E7" s="13">
        <v>90</v>
      </c>
      <c r="F7" s="13">
        <v>48</v>
      </c>
      <c r="G7" s="13">
        <v>69</v>
      </c>
      <c r="I7" s="16" t="s">
        <v>114</v>
      </c>
      <c r="J7" s="11">
        <v>4</v>
      </c>
      <c r="K7" s="17">
        <v>86.25</v>
      </c>
    </row>
    <row r="8" spans="1:11" x14ac:dyDescent="0.3">
      <c r="A8" s="2" t="s">
        <v>101</v>
      </c>
      <c r="B8" s="2" t="s">
        <v>48</v>
      </c>
      <c r="C8" s="14">
        <v>42985</v>
      </c>
      <c r="D8" s="2">
        <v>95</v>
      </c>
      <c r="E8" s="2">
        <v>98</v>
      </c>
      <c r="F8" s="2">
        <v>86</v>
      </c>
      <c r="G8" s="2">
        <v>100</v>
      </c>
      <c r="I8" s="16" t="s">
        <v>97</v>
      </c>
      <c r="J8" s="11">
        <v>22</v>
      </c>
      <c r="K8" s="17">
        <v>70.590909090909093</v>
      </c>
    </row>
    <row r="9" spans="1:11" x14ac:dyDescent="0.3">
      <c r="A9" s="2" t="s">
        <v>104</v>
      </c>
      <c r="B9" s="2" t="s">
        <v>50</v>
      </c>
      <c r="C9" s="14">
        <v>42970</v>
      </c>
      <c r="D9" s="2">
        <v>38</v>
      </c>
      <c r="E9" s="2">
        <v>75</v>
      </c>
      <c r="F9" s="2">
        <v>54</v>
      </c>
      <c r="G9" s="2">
        <v>94</v>
      </c>
    </row>
    <row r="10" spans="1:11" x14ac:dyDescent="0.3">
      <c r="A10" s="13" t="s">
        <v>41</v>
      </c>
      <c r="B10" s="13" t="s">
        <v>52</v>
      </c>
      <c r="C10" s="14">
        <v>42986</v>
      </c>
      <c r="D10" s="13">
        <v>80</v>
      </c>
      <c r="E10" s="13">
        <v>83</v>
      </c>
      <c r="F10" s="13">
        <v>95</v>
      </c>
      <c r="G10" s="13">
        <v>24</v>
      </c>
    </row>
    <row r="11" spans="1:11" x14ac:dyDescent="0.3">
      <c r="A11" s="2" t="s">
        <v>102</v>
      </c>
      <c r="B11" s="2" t="s">
        <v>51</v>
      </c>
      <c r="C11" s="14">
        <v>42986</v>
      </c>
      <c r="D11" s="2">
        <v>24</v>
      </c>
      <c r="E11" s="2">
        <v>90</v>
      </c>
      <c r="F11" s="2">
        <v>48</v>
      </c>
      <c r="G11" s="2">
        <v>69</v>
      </c>
    </row>
    <row r="12" spans="1:11" x14ac:dyDescent="0.3">
      <c r="A12" s="13" t="s">
        <v>39</v>
      </c>
      <c r="B12" s="13" t="s">
        <v>53</v>
      </c>
      <c r="C12" s="14">
        <v>42988</v>
      </c>
      <c r="D12" s="13">
        <v>75</v>
      </c>
      <c r="E12" s="13">
        <v>89</v>
      </c>
      <c r="F12" s="13">
        <v>98</v>
      </c>
      <c r="G12" s="13">
        <v>63</v>
      </c>
    </row>
    <row r="13" spans="1:11" x14ac:dyDescent="0.3">
      <c r="A13" s="13" t="s">
        <v>44</v>
      </c>
      <c r="B13" s="13" t="s">
        <v>54</v>
      </c>
      <c r="C13" s="14">
        <v>42999</v>
      </c>
      <c r="D13" s="13">
        <v>86</v>
      </c>
      <c r="E13" s="13">
        <v>75</v>
      </c>
      <c r="F13" s="13">
        <v>70</v>
      </c>
      <c r="G13" s="13">
        <v>75</v>
      </c>
    </row>
    <row r="14" spans="1:11" x14ac:dyDescent="0.3">
      <c r="A14" s="2" t="s">
        <v>107</v>
      </c>
      <c r="B14" s="2" t="s">
        <v>59</v>
      </c>
      <c r="C14" s="14">
        <v>43001</v>
      </c>
      <c r="D14" s="2">
        <v>54</v>
      </c>
      <c r="E14" s="2">
        <v>50</v>
      </c>
      <c r="F14" s="2">
        <v>53</v>
      </c>
      <c r="G14" s="2">
        <v>90</v>
      </c>
    </row>
    <row r="15" spans="1:11" x14ac:dyDescent="0.3">
      <c r="A15" s="13" t="s">
        <v>45</v>
      </c>
      <c r="B15" s="13" t="s">
        <v>55</v>
      </c>
      <c r="C15" s="14">
        <v>43003</v>
      </c>
      <c r="D15" s="13">
        <v>98</v>
      </c>
      <c r="E15" s="13">
        <v>86</v>
      </c>
      <c r="F15" s="13">
        <v>89</v>
      </c>
      <c r="G15" s="13">
        <v>89</v>
      </c>
    </row>
    <row r="16" spans="1:11" x14ac:dyDescent="0.3">
      <c r="A16" s="13" t="s">
        <v>38</v>
      </c>
      <c r="B16" s="13" t="s">
        <v>56</v>
      </c>
      <c r="C16" s="14">
        <v>43011</v>
      </c>
      <c r="D16" s="13">
        <v>63</v>
      </c>
      <c r="E16" s="13">
        <v>89</v>
      </c>
      <c r="F16" s="13">
        <v>90</v>
      </c>
      <c r="G16" s="13">
        <v>54</v>
      </c>
    </row>
    <row r="17" spans="1:7" x14ac:dyDescent="0.3">
      <c r="A17" s="13" t="s">
        <v>34</v>
      </c>
      <c r="B17" s="13" t="s">
        <v>57</v>
      </c>
      <c r="C17" s="14">
        <v>43015</v>
      </c>
      <c r="D17" s="13">
        <v>55</v>
      </c>
      <c r="E17" s="13">
        <v>88</v>
      </c>
      <c r="F17" s="13">
        <v>55</v>
      </c>
      <c r="G17" s="13">
        <v>95</v>
      </c>
    </row>
    <row r="18" spans="1:7" x14ac:dyDescent="0.3">
      <c r="A18" s="2" t="s">
        <v>103</v>
      </c>
      <c r="B18" s="2" t="s">
        <v>55</v>
      </c>
      <c r="C18" s="12">
        <v>43013</v>
      </c>
      <c r="D18" s="2">
        <v>98</v>
      </c>
      <c r="E18" s="2">
        <v>86</v>
      </c>
      <c r="F18" s="2">
        <v>89</v>
      </c>
      <c r="G18" s="2">
        <v>89</v>
      </c>
    </row>
    <row r="19" spans="1:7" x14ac:dyDescent="0.3">
      <c r="A19" s="2" t="s">
        <v>105</v>
      </c>
      <c r="B19" s="2" t="s">
        <v>50</v>
      </c>
      <c r="C19" s="12">
        <v>43017</v>
      </c>
      <c r="D19" s="2">
        <v>38</v>
      </c>
      <c r="E19" s="2">
        <v>75</v>
      </c>
      <c r="F19" s="2">
        <v>54</v>
      </c>
      <c r="G19" s="2">
        <v>94</v>
      </c>
    </row>
    <row r="20" spans="1:7" x14ac:dyDescent="0.3">
      <c r="A20" s="13" t="s">
        <v>35</v>
      </c>
      <c r="B20" s="13" t="s">
        <v>58</v>
      </c>
      <c r="C20" s="14">
        <v>43019</v>
      </c>
      <c r="D20" s="13">
        <v>98</v>
      </c>
      <c r="E20" s="13">
        <v>95</v>
      </c>
      <c r="F20" s="13">
        <v>96</v>
      </c>
      <c r="G20" s="13">
        <v>100</v>
      </c>
    </row>
    <row r="21" spans="1:7" x14ac:dyDescent="0.3">
      <c r="A21" s="13" t="s">
        <v>43</v>
      </c>
      <c r="B21" s="13" t="s">
        <v>59</v>
      </c>
      <c r="C21" s="14">
        <v>43029</v>
      </c>
      <c r="D21" s="13">
        <v>54</v>
      </c>
      <c r="E21" s="13">
        <v>50</v>
      </c>
      <c r="F21" s="13">
        <v>53</v>
      </c>
      <c r="G21" s="13">
        <v>90</v>
      </c>
    </row>
    <row r="22" spans="1:7" x14ac:dyDescent="0.3">
      <c r="A22" s="2" t="s">
        <v>106</v>
      </c>
      <c r="B22" s="2" t="s">
        <v>58</v>
      </c>
      <c r="C22" s="12">
        <v>43028</v>
      </c>
      <c r="D22" s="2">
        <v>98</v>
      </c>
      <c r="E22" s="2">
        <v>95</v>
      </c>
      <c r="F22" s="2">
        <v>96</v>
      </c>
      <c r="G22" s="2">
        <v>100</v>
      </c>
    </row>
    <row r="23" spans="1:7" x14ac:dyDescent="0.3">
      <c r="A23" s="13" t="s">
        <v>36</v>
      </c>
      <c r="B23" s="13" t="s">
        <v>60</v>
      </c>
      <c r="C23" s="14">
        <v>43030</v>
      </c>
      <c r="D23" s="13">
        <v>95</v>
      </c>
      <c r="E23" s="13">
        <v>95</v>
      </c>
      <c r="F23" s="13">
        <v>92</v>
      </c>
      <c r="G23" s="13">
        <v>66</v>
      </c>
    </row>
    <row r="24" spans="1:7" x14ac:dyDescent="0.3">
      <c r="A24" s="2" t="s">
        <v>108</v>
      </c>
      <c r="B24" s="2" t="s">
        <v>58</v>
      </c>
      <c r="C24" s="14">
        <v>43040</v>
      </c>
      <c r="D24" s="2">
        <v>98</v>
      </c>
      <c r="E24" s="2">
        <v>95</v>
      </c>
      <c r="F24" s="2">
        <v>96</v>
      </c>
      <c r="G24" s="2">
        <v>100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G29"/>
  <sheetViews>
    <sheetView workbookViewId="0"/>
  </sheetViews>
  <sheetFormatPr defaultRowHeight="16.5" outlineLevelRow="2" x14ac:dyDescent="0.3"/>
  <cols>
    <col min="3" max="3" width="11.125" bestFit="1" customWidth="1"/>
    <col min="4" max="4" width="13" bestFit="1" customWidth="1"/>
    <col min="5" max="5" width="11" bestFit="1" customWidth="1"/>
    <col min="7" max="7" width="15.125" bestFit="1" customWidth="1"/>
  </cols>
  <sheetData>
    <row r="2" spans="1:7" x14ac:dyDescent="0.3">
      <c r="A2" s="2" t="s">
        <v>33</v>
      </c>
      <c r="B2" s="2" t="s">
        <v>32</v>
      </c>
      <c r="C2" s="2" t="s">
        <v>99</v>
      </c>
      <c r="D2" s="2" t="s">
        <v>18</v>
      </c>
      <c r="E2" s="2" t="s">
        <v>61</v>
      </c>
      <c r="F2" s="2" t="s">
        <v>19</v>
      </c>
      <c r="G2" s="2" t="s">
        <v>63</v>
      </c>
    </row>
    <row r="3" spans="1:7" outlineLevel="2" x14ac:dyDescent="0.3">
      <c r="A3" s="13" t="s">
        <v>64</v>
      </c>
      <c r="B3" s="13" t="s">
        <v>47</v>
      </c>
      <c r="C3" s="18">
        <v>42948</v>
      </c>
      <c r="D3" s="13">
        <v>54</v>
      </c>
      <c r="E3" s="13">
        <v>55</v>
      </c>
      <c r="F3" s="13">
        <v>69</v>
      </c>
      <c r="G3" s="13">
        <v>90</v>
      </c>
    </row>
    <row r="4" spans="1:7" outlineLevel="2" x14ac:dyDescent="0.3">
      <c r="A4" s="13" t="s">
        <v>42</v>
      </c>
      <c r="B4" s="13" t="s">
        <v>48</v>
      </c>
      <c r="C4" s="18">
        <v>42958</v>
      </c>
      <c r="D4" s="13">
        <v>95</v>
      </c>
      <c r="E4" s="13">
        <v>98</v>
      </c>
      <c r="F4" s="13">
        <v>86</v>
      </c>
      <c r="G4" s="13">
        <v>100</v>
      </c>
    </row>
    <row r="5" spans="1:7" outlineLevel="2" x14ac:dyDescent="0.3">
      <c r="A5" s="13" t="s">
        <v>37</v>
      </c>
      <c r="B5" s="13" t="s">
        <v>50</v>
      </c>
      <c r="C5" s="18">
        <v>42962</v>
      </c>
      <c r="D5" s="13">
        <v>38</v>
      </c>
      <c r="E5" s="13">
        <v>75</v>
      </c>
      <c r="F5" s="13">
        <v>54</v>
      </c>
      <c r="G5" s="13">
        <v>94</v>
      </c>
    </row>
    <row r="6" spans="1:7" outlineLevel="2" x14ac:dyDescent="0.3">
      <c r="A6" s="13" t="s">
        <v>40</v>
      </c>
      <c r="B6" s="13" t="s">
        <v>49</v>
      </c>
      <c r="C6" s="18">
        <v>42962</v>
      </c>
      <c r="D6" s="13">
        <v>95</v>
      </c>
      <c r="E6" s="13">
        <v>85</v>
      </c>
      <c r="F6" s="13">
        <v>50</v>
      </c>
      <c r="G6" s="13">
        <v>70</v>
      </c>
    </row>
    <row r="7" spans="1:7" outlineLevel="2" x14ac:dyDescent="0.3">
      <c r="A7" s="13" t="s">
        <v>46</v>
      </c>
      <c r="B7" s="13" t="s">
        <v>51</v>
      </c>
      <c r="C7" s="18">
        <v>42968</v>
      </c>
      <c r="D7" s="13">
        <v>24</v>
      </c>
      <c r="E7" s="13">
        <v>90</v>
      </c>
      <c r="F7" s="13">
        <v>48</v>
      </c>
      <c r="G7" s="13">
        <v>69</v>
      </c>
    </row>
    <row r="8" spans="1:7" outlineLevel="2" x14ac:dyDescent="0.3">
      <c r="A8" s="2" t="s">
        <v>104</v>
      </c>
      <c r="B8" s="2" t="s">
        <v>50</v>
      </c>
      <c r="C8" s="18">
        <v>42970</v>
      </c>
      <c r="D8" s="2">
        <v>38</v>
      </c>
      <c r="E8" s="2">
        <v>75</v>
      </c>
      <c r="F8" s="2">
        <v>54</v>
      </c>
      <c r="G8" s="2">
        <v>94</v>
      </c>
    </row>
    <row r="9" spans="1:7" outlineLevel="1" x14ac:dyDescent="0.3">
      <c r="A9" s="2"/>
      <c r="B9" s="2"/>
      <c r="C9" s="20" t="s">
        <v>115</v>
      </c>
      <c r="D9" s="2">
        <f>SUBTOTAL(1,D3:D8)</f>
        <v>57.333333333333336</v>
      </c>
      <c r="E9" s="2">
        <f>SUBTOTAL(1,E3:E8)</f>
        <v>79.666666666666671</v>
      </c>
      <c r="F9" s="2">
        <f>SUBTOTAL(1,F3:F8)</f>
        <v>60.166666666666664</v>
      </c>
      <c r="G9" s="2">
        <f>SUBTOTAL(1,G3:G8)</f>
        <v>86.166666666666671</v>
      </c>
    </row>
    <row r="10" spans="1:7" outlineLevel="2" x14ac:dyDescent="0.3">
      <c r="A10" s="2" t="s">
        <v>101</v>
      </c>
      <c r="B10" s="2" t="s">
        <v>48</v>
      </c>
      <c r="C10" s="18">
        <v>42985</v>
      </c>
      <c r="D10" s="2">
        <v>95</v>
      </c>
      <c r="E10" s="2">
        <v>98</v>
      </c>
      <c r="F10" s="2">
        <v>86</v>
      </c>
      <c r="G10" s="2">
        <v>100</v>
      </c>
    </row>
    <row r="11" spans="1:7" outlineLevel="2" x14ac:dyDescent="0.3">
      <c r="A11" s="2" t="s">
        <v>102</v>
      </c>
      <c r="B11" s="2" t="s">
        <v>51</v>
      </c>
      <c r="C11" s="18">
        <v>42986</v>
      </c>
      <c r="D11" s="2">
        <v>24</v>
      </c>
      <c r="E11" s="2">
        <v>90</v>
      </c>
      <c r="F11" s="2">
        <v>48</v>
      </c>
      <c r="G11" s="2">
        <v>69</v>
      </c>
    </row>
    <row r="12" spans="1:7" outlineLevel="2" x14ac:dyDescent="0.3">
      <c r="A12" s="13" t="s">
        <v>41</v>
      </c>
      <c r="B12" s="13" t="s">
        <v>52</v>
      </c>
      <c r="C12" s="18">
        <v>42986</v>
      </c>
      <c r="D12" s="13">
        <v>80</v>
      </c>
      <c r="E12" s="13">
        <v>83</v>
      </c>
      <c r="F12" s="13">
        <v>95</v>
      </c>
      <c r="G12" s="13">
        <v>24</v>
      </c>
    </row>
    <row r="13" spans="1:7" outlineLevel="2" x14ac:dyDescent="0.3">
      <c r="A13" s="13" t="s">
        <v>39</v>
      </c>
      <c r="B13" s="13" t="s">
        <v>53</v>
      </c>
      <c r="C13" s="18">
        <v>42988</v>
      </c>
      <c r="D13" s="13">
        <v>75</v>
      </c>
      <c r="E13" s="13">
        <v>89</v>
      </c>
      <c r="F13" s="13">
        <v>98</v>
      </c>
      <c r="G13" s="13">
        <v>63</v>
      </c>
    </row>
    <row r="14" spans="1:7" outlineLevel="2" x14ac:dyDescent="0.3">
      <c r="A14" s="13" t="s">
        <v>44</v>
      </c>
      <c r="B14" s="13" t="s">
        <v>54</v>
      </c>
      <c r="C14" s="18">
        <v>42999</v>
      </c>
      <c r="D14" s="13">
        <v>86</v>
      </c>
      <c r="E14" s="13">
        <v>75</v>
      </c>
      <c r="F14" s="13">
        <v>70</v>
      </c>
      <c r="G14" s="13">
        <v>75</v>
      </c>
    </row>
    <row r="15" spans="1:7" outlineLevel="2" x14ac:dyDescent="0.3">
      <c r="A15" s="2" t="s">
        <v>107</v>
      </c>
      <c r="B15" s="2" t="s">
        <v>59</v>
      </c>
      <c r="C15" s="18">
        <v>43001</v>
      </c>
      <c r="D15" s="2">
        <v>54</v>
      </c>
      <c r="E15" s="2">
        <v>50</v>
      </c>
      <c r="F15" s="2">
        <v>53</v>
      </c>
      <c r="G15" s="2">
        <v>90</v>
      </c>
    </row>
    <row r="16" spans="1:7" outlineLevel="2" x14ac:dyDescent="0.3">
      <c r="A16" s="13" t="s">
        <v>45</v>
      </c>
      <c r="B16" s="13" t="s">
        <v>55</v>
      </c>
      <c r="C16" s="18">
        <v>43003</v>
      </c>
      <c r="D16" s="13">
        <v>98</v>
      </c>
      <c r="E16" s="13">
        <v>86</v>
      </c>
      <c r="F16" s="13">
        <v>89</v>
      </c>
      <c r="G16" s="13">
        <v>89</v>
      </c>
    </row>
    <row r="17" spans="1:7" outlineLevel="1" x14ac:dyDescent="0.3">
      <c r="A17" s="13"/>
      <c r="B17" s="13"/>
      <c r="C17" s="20" t="s">
        <v>116</v>
      </c>
      <c r="D17" s="13">
        <f>SUBTOTAL(1,D10:D16)</f>
        <v>73.142857142857139</v>
      </c>
      <c r="E17" s="13">
        <f>SUBTOTAL(1,E10:E16)</f>
        <v>81.571428571428569</v>
      </c>
      <c r="F17" s="13">
        <f>SUBTOTAL(1,F10:F16)</f>
        <v>77</v>
      </c>
      <c r="G17" s="13">
        <f>SUBTOTAL(1,G10:G16)</f>
        <v>72.857142857142861</v>
      </c>
    </row>
    <row r="18" spans="1:7" outlineLevel="2" x14ac:dyDescent="0.3">
      <c r="A18" s="13" t="s">
        <v>38</v>
      </c>
      <c r="B18" s="13" t="s">
        <v>56</v>
      </c>
      <c r="C18" s="18">
        <v>43011</v>
      </c>
      <c r="D18" s="13">
        <v>63</v>
      </c>
      <c r="E18" s="13">
        <v>89</v>
      </c>
      <c r="F18" s="13">
        <v>90</v>
      </c>
      <c r="G18" s="13">
        <v>54</v>
      </c>
    </row>
    <row r="19" spans="1:7" outlineLevel="2" x14ac:dyDescent="0.3">
      <c r="A19" s="2" t="s">
        <v>103</v>
      </c>
      <c r="B19" s="2" t="s">
        <v>55</v>
      </c>
      <c r="C19" s="19">
        <v>43013</v>
      </c>
      <c r="D19" s="2">
        <v>98</v>
      </c>
      <c r="E19" s="2">
        <v>86</v>
      </c>
      <c r="F19" s="2">
        <v>89</v>
      </c>
      <c r="G19" s="2">
        <v>89</v>
      </c>
    </row>
    <row r="20" spans="1:7" outlineLevel="2" x14ac:dyDescent="0.3">
      <c r="A20" s="13" t="s">
        <v>34</v>
      </c>
      <c r="B20" s="13" t="s">
        <v>57</v>
      </c>
      <c r="C20" s="18">
        <v>43015</v>
      </c>
      <c r="D20" s="13">
        <v>55</v>
      </c>
      <c r="E20" s="13">
        <v>88</v>
      </c>
      <c r="F20" s="13">
        <v>55</v>
      </c>
      <c r="G20" s="13">
        <v>95</v>
      </c>
    </row>
    <row r="21" spans="1:7" outlineLevel="2" x14ac:dyDescent="0.3">
      <c r="A21" s="2" t="s">
        <v>105</v>
      </c>
      <c r="B21" s="2" t="s">
        <v>50</v>
      </c>
      <c r="C21" s="19">
        <v>43017</v>
      </c>
      <c r="D21" s="2">
        <v>38</v>
      </c>
      <c r="E21" s="2">
        <v>75</v>
      </c>
      <c r="F21" s="2">
        <v>54</v>
      </c>
      <c r="G21" s="2">
        <v>94</v>
      </c>
    </row>
    <row r="22" spans="1:7" outlineLevel="2" x14ac:dyDescent="0.3">
      <c r="A22" s="13" t="s">
        <v>35</v>
      </c>
      <c r="B22" s="13" t="s">
        <v>58</v>
      </c>
      <c r="C22" s="18">
        <v>43019</v>
      </c>
      <c r="D22" s="13">
        <v>98</v>
      </c>
      <c r="E22" s="13">
        <v>95</v>
      </c>
      <c r="F22" s="13">
        <v>96</v>
      </c>
      <c r="G22" s="13">
        <v>100</v>
      </c>
    </row>
    <row r="23" spans="1:7" outlineLevel="2" x14ac:dyDescent="0.3">
      <c r="A23" s="2" t="s">
        <v>106</v>
      </c>
      <c r="B23" s="2" t="s">
        <v>58</v>
      </c>
      <c r="C23" s="19">
        <v>43028</v>
      </c>
      <c r="D23" s="2">
        <v>98</v>
      </c>
      <c r="E23" s="2">
        <v>95</v>
      </c>
      <c r="F23" s="2">
        <v>96</v>
      </c>
      <c r="G23" s="2">
        <v>100</v>
      </c>
    </row>
    <row r="24" spans="1:7" outlineLevel="2" x14ac:dyDescent="0.3">
      <c r="A24" s="13" t="s">
        <v>43</v>
      </c>
      <c r="B24" s="13" t="s">
        <v>59</v>
      </c>
      <c r="C24" s="18">
        <v>43029</v>
      </c>
      <c r="D24" s="13">
        <v>54</v>
      </c>
      <c r="E24" s="13">
        <v>50</v>
      </c>
      <c r="F24" s="13">
        <v>53</v>
      </c>
      <c r="G24" s="13">
        <v>90</v>
      </c>
    </row>
    <row r="25" spans="1:7" outlineLevel="2" x14ac:dyDescent="0.3">
      <c r="A25" s="13" t="s">
        <v>36</v>
      </c>
      <c r="B25" s="13" t="s">
        <v>60</v>
      </c>
      <c r="C25" s="18">
        <v>43030</v>
      </c>
      <c r="D25" s="13">
        <v>95</v>
      </c>
      <c r="E25" s="13">
        <v>95</v>
      </c>
      <c r="F25" s="13">
        <v>92</v>
      </c>
      <c r="G25" s="13">
        <v>66</v>
      </c>
    </row>
    <row r="26" spans="1:7" outlineLevel="1" x14ac:dyDescent="0.3">
      <c r="A26" s="13"/>
      <c r="B26" s="13"/>
      <c r="C26" s="20" t="s">
        <v>117</v>
      </c>
      <c r="D26" s="13">
        <f>SUBTOTAL(1,D18:D25)</f>
        <v>74.875</v>
      </c>
      <c r="E26" s="13">
        <f>SUBTOTAL(1,E18:E25)</f>
        <v>84.125</v>
      </c>
      <c r="F26" s="13">
        <f>SUBTOTAL(1,F18:F25)</f>
        <v>78.125</v>
      </c>
      <c r="G26" s="13">
        <f>SUBTOTAL(1,G18:G25)</f>
        <v>86</v>
      </c>
    </row>
    <row r="27" spans="1:7" outlineLevel="2" x14ac:dyDescent="0.3">
      <c r="A27" s="2" t="s">
        <v>108</v>
      </c>
      <c r="B27" s="2" t="s">
        <v>58</v>
      </c>
      <c r="C27" s="18">
        <v>43040</v>
      </c>
      <c r="D27" s="2">
        <v>98</v>
      </c>
      <c r="E27" s="2">
        <v>95</v>
      </c>
      <c r="F27" s="2">
        <v>96</v>
      </c>
      <c r="G27" s="2">
        <v>100</v>
      </c>
    </row>
    <row r="28" spans="1:7" outlineLevel="1" x14ac:dyDescent="0.3">
      <c r="A28" s="15"/>
      <c r="B28" s="15"/>
      <c r="C28" s="21" t="s">
        <v>118</v>
      </c>
      <c r="D28" s="15">
        <f>SUBTOTAL(1,D27:D27)</f>
        <v>98</v>
      </c>
      <c r="E28" s="15">
        <f>SUBTOTAL(1,E27:E27)</f>
        <v>95</v>
      </c>
      <c r="F28" s="15">
        <f>SUBTOTAL(1,F27:F27)</f>
        <v>96</v>
      </c>
      <c r="G28" s="15">
        <f>SUBTOTAL(1,G27:G27)</f>
        <v>100</v>
      </c>
    </row>
    <row r="29" spans="1:7" x14ac:dyDescent="0.3">
      <c r="A29" s="15"/>
      <c r="B29" s="15"/>
      <c r="C29" s="21" t="s">
        <v>119</v>
      </c>
      <c r="D29" s="15">
        <f>SUBTOTAL(1,D3:D27)</f>
        <v>70.590909090909093</v>
      </c>
      <c r="E29" s="15">
        <f>SUBTOTAL(1,E3:E27)</f>
        <v>82.590909090909093</v>
      </c>
      <c r="F29" s="15">
        <f>SUBTOTAL(1,F3:F27)</f>
        <v>73.681818181818187</v>
      </c>
      <c r="G29" s="15">
        <f>SUBTOTAL(1,G3:G27)</f>
        <v>82.5</v>
      </c>
    </row>
  </sheetData>
  <sortState ref="A3:G24">
    <sortCondition ref="C3:C24"/>
  </sortState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월별부분합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F6"/>
  <sheetViews>
    <sheetView workbookViewId="0"/>
  </sheetViews>
  <sheetFormatPr defaultRowHeight="16.5" x14ac:dyDescent="0.3"/>
  <cols>
    <col min="1" max="1" width="3.375" customWidth="1"/>
    <col min="2" max="2" width="10.25" customWidth="1"/>
    <col min="3" max="3" width="13" bestFit="1" customWidth="1"/>
    <col min="4" max="4" width="12.125" customWidth="1"/>
    <col min="5" max="5" width="11.5" customWidth="1"/>
    <col min="6" max="6" width="15.125" bestFit="1" customWidth="1"/>
    <col min="7" max="7" width="7.875" customWidth="1"/>
  </cols>
  <sheetData>
    <row r="2" spans="2:6" x14ac:dyDescent="0.3">
      <c r="B2" s="22" t="s">
        <v>120</v>
      </c>
      <c r="C2" s="2" t="s">
        <v>18</v>
      </c>
      <c r="D2" s="2" t="s">
        <v>61</v>
      </c>
      <c r="E2" s="2" t="s">
        <v>19</v>
      </c>
      <c r="F2" s="2" t="s">
        <v>63</v>
      </c>
    </row>
    <row r="3" spans="2:6" x14ac:dyDescent="0.3">
      <c r="B3" s="23" t="s">
        <v>121</v>
      </c>
      <c r="C3" s="2">
        <v>57</v>
      </c>
      <c r="D3" s="2">
        <v>79</v>
      </c>
      <c r="E3" s="2">
        <v>60</v>
      </c>
      <c r="F3" s="2">
        <v>86</v>
      </c>
    </row>
    <row r="4" spans="2:6" x14ac:dyDescent="0.3">
      <c r="B4" s="23" t="s">
        <v>122</v>
      </c>
      <c r="C4" s="13">
        <v>73</v>
      </c>
      <c r="D4" s="13">
        <v>81</v>
      </c>
      <c r="E4" s="13">
        <v>77</v>
      </c>
      <c r="F4" s="13">
        <v>72</v>
      </c>
    </row>
    <row r="5" spans="2:6" x14ac:dyDescent="0.3">
      <c r="B5" s="23" t="s">
        <v>123</v>
      </c>
      <c r="C5" s="13">
        <v>74</v>
      </c>
      <c r="D5" s="13">
        <v>84</v>
      </c>
      <c r="E5" s="13">
        <v>78</v>
      </c>
      <c r="F5" s="13">
        <v>86</v>
      </c>
    </row>
    <row r="6" spans="2:6" x14ac:dyDescent="0.3">
      <c r="B6" s="23" t="s">
        <v>124</v>
      </c>
      <c r="C6" s="2">
        <v>98</v>
      </c>
      <c r="D6" s="2">
        <v>95</v>
      </c>
      <c r="E6" s="2">
        <v>96</v>
      </c>
      <c r="F6" s="2">
        <v>100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J8"/>
  <sheetViews>
    <sheetView tabSelected="1" workbookViewId="0">
      <selection activeCell="G22" sqref="G22"/>
    </sheetView>
  </sheetViews>
  <sheetFormatPr defaultRowHeight="16.5" x14ac:dyDescent="0.3"/>
  <cols>
    <col min="1" max="1" width="4.375" style="1" customWidth="1"/>
    <col min="2" max="2" width="9" style="1"/>
    <col min="3" max="3" width="12.125" style="24" bestFit="1" customWidth="1"/>
    <col min="4" max="16384" width="9" style="1"/>
  </cols>
  <sheetData>
    <row r="1" spans="2:10" x14ac:dyDescent="0.3">
      <c r="C1" s="1"/>
    </row>
    <row r="2" spans="2:10" x14ac:dyDescent="0.3">
      <c r="C2" s="1"/>
    </row>
    <row r="3" spans="2:10" x14ac:dyDescent="0.3">
      <c r="B3" s="1" t="s">
        <v>21</v>
      </c>
      <c r="C3" s="1"/>
      <c r="J3" s="1" t="s">
        <v>81</v>
      </c>
    </row>
    <row r="4" spans="2:10" x14ac:dyDescent="0.3">
      <c r="B4" s="1" t="s">
        <v>82</v>
      </c>
      <c r="C4" s="1" t="s">
        <v>125</v>
      </c>
      <c r="D4" s="1" t="s">
        <v>127</v>
      </c>
      <c r="E4" s="1" t="s">
        <v>126</v>
      </c>
      <c r="F4" s="1" t="s">
        <v>83</v>
      </c>
      <c r="G4" s="1" t="s">
        <v>84</v>
      </c>
      <c r="H4" s="1" t="s">
        <v>85</v>
      </c>
      <c r="J4" s="2" t="s">
        <v>82</v>
      </c>
    </row>
    <row r="5" spans="2:10" x14ac:dyDescent="0.3">
      <c r="B5" s="1" t="s">
        <v>130</v>
      </c>
      <c r="C5" s="24">
        <v>0.56428240740740743</v>
      </c>
      <c r="D5" s="1" t="s">
        <v>128</v>
      </c>
      <c r="E5" s="1" t="s">
        <v>131</v>
      </c>
      <c r="F5" s="1">
        <v>250</v>
      </c>
      <c r="G5" s="1">
        <v>300</v>
      </c>
      <c r="H5" s="1" t="s">
        <v>129</v>
      </c>
      <c r="J5" s="2" t="s">
        <v>47</v>
      </c>
    </row>
    <row r="6" spans="2:10" x14ac:dyDescent="0.3">
      <c r="J6" s="2" t="s">
        <v>86</v>
      </c>
    </row>
    <row r="7" spans="2:10" x14ac:dyDescent="0.3">
      <c r="J7" s="2" t="s">
        <v>87</v>
      </c>
    </row>
    <row r="8" spans="2:10" x14ac:dyDescent="0.3">
      <c r="J8" s="2" t="s">
        <v>88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실적현황">
          <controlPr defaultSize="0" autoLine="0" r:id="rId4">
            <anchor moveWithCells="1">
              <from>
                <xdr:col>6</xdr:col>
                <xdr:colOff>504825</xdr:colOff>
                <xdr:row>0</xdr:row>
                <xdr:rowOff>123825</xdr:rowOff>
              </from>
              <to>
                <xdr:col>8</xdr:col>
                <xdr:colOff>28575</xdr:colOff>
                <xdr:row>2</xdr:row>
                <xdr:rowOff>47625</xdr:rowOff>
              </to>
            </anchor>
          </controlPr>
        </control>
      </mc:Choice>
      <mc:Fallback>
        <control shapeId="8193" r:id="rId3" name="cmd실적현황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  <vt:lpstr>'기본작업-3'!Print_Area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cp:lastPrinted>2018-03-08T02:56:08Z</cp:lastPrinted>
  <dcterms:created xsi:type="dcterms:W3CDTF">2018-02-06T03:44:36Z</dcterms:created>
  <dcterms:modified xsi:type="dcterms:W3CDTF">2018-08-30T01:13:46Z</dcterms:modified>
</cp:coreProperties>
</file>