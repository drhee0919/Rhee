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강의필기\봉쌤 유투부 엑셀 1급 강의\"/>
    </mc:Choice>
  </mc:AlternateContent>
  <xr:revisionPtr revIDLastSave="0" documentId="13_ncr:1_{81677243-DEE8-4AEF-A65B-EC2C2D589352}" xr6:coauthVersionLast="45" xr6:coauthVersionMax="45" xr10:uidLastSave="{00000000-0000-0000-0000-000000000000}"/>
  <bookViews>
    <workbookView xWindow="-120" yWindow="-120" windowWidth="20730" windowHeight="11160" tabRatio="803" activeTab="3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기타작업-1" sheetId="7" r:id="rId7"/>
    <sheet name="기타작업-2" sheetId="8" r:id="rId8"/>
  </sheets>
  <functionGroups builtInGroupCount="19"/>
  <definedNames>
    <definedName name="_xlnm._FilterDatabase" localSheetId="1" hidden="1">'기본작업-2'!$A$2:$G$32</definedName>
    <definedName name="_xlnm.Criteria" localSheetId="1">'기본작업-2'!$A$34:$A$35</definedName>
    <definedName name="_xlnm.Extract" localSheetId="1">'기본작업-2'!$A$37:$G$37</definedName>
    <definedName name="MS_Access_Database_Query" localSheetId="0" hidden="1">'기본작업-1'!$B$4:$H$23</definedName>
  </definedNames>
  <calcPr calcId="191029"/>
</workbook>
</file>

<file path=xl/calcChain.xml><?xml version="1.0" encoding="utf-8"?>
<calcChain xmlns="http://schemas.openxmlformats.org/spreadsheetml/2006/main">
  <c r="J4" i="4" l="1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3" i="4"/>
  <c r="D32" i="4" a="1"/>
  <c r="D32" i="4" s="1"/>
  <c r="E32" i="4" a="1"/>
  <c r="E32" i="4"/>
  <c r="F32" i="4" a="1"/>
  <c r="F32" i="4" s="1"/>
  <c r="G32" i="4" a="1"/>
  <c r="G32" i="4"/>
  <c r="D33" i="4" a="1"/>
  <c r="D33" i="4" s="1"/>
  <c r="E33" i="4" a="1"/>
  <c r="E33" i="4"/>
  <c r="F33" i="4" a="1"/>
  <c r="F33" i="4" s="1"/>
  <c r="G33" i="4" a="1"/>
  <c r="G33" i="4" s="1"/>
  <c r="E31" i="4" a="1"/>
  <c r="E31" i="4" s="1"/>
  <c r="F31" i="4" a="1"/>
  <c r="F31" i="4" s="1"/>
  <c r="G31" i="4" a="1"/>
  <c r="G31" i="4" s="1"/>
  <c r="D31" i="4" a="1"/>
  <c r="D31" i="4" s="1"/>
  <c r="B32" i="4" a="1"/>
  <c r="B32" i="4" s="1"/>
  <c r="C32" i="4" a="1"/>
  <c r="C32" i="4"/>
  <c r="B33" i="4" a="1"/>
  <c r="B33" i="4" s="1"/>
  <c r="C33" i="4" a="1"/>
  <c r="C33" i="4" s="1"/>
  <c r="C31" i="4" a="1"/>
  <c r="C31" i="4" s="1"/>
  <c r="B31" i="4" a="1"/>
  <c r="B31" i="4" s="1"/>
  <c r="H4" i="4"/>
  <c r="H8" i="4"/>
  <c r="H12" i="4"/>
  <c r="H16" i="4"/>
  <c r="H20" i="4"/>
  <c r="H17" i="4"/>
  <c r="H19" i="4"/>
  <c r="H5" i="4"/>
  <c r="H9" i="4"/>
  <c r="H13" i="4"/>
  <c r="H21" i="4"/>
  <c r="H6" i="4"/>
  <c r="H10" i="4"/>
  <c r="H14" i="4"/>
  <c r="H18" i="4"/>
  <c r="H22" i="4"/>
  <c r="H7" i="4"/>
  <c r="H11" i="4"/>
  <c r="H15" i="4"/>
  <c r="H23" i="4"/>
  <c r="H3" i="4"/>
  <c r="A35" i="2" l="1"/>
  <c r="G4" i="3" l="1"/>
  <c r="G5" i="3"/>
  <c r="G6" i="3"/>
  <c r="G7" i="3"/>
  <c r="G8" i="3"/>
  <c r="G9" i="3"/>
  <c r="G10" i="3"/>
  <c r="G3" i="3"/>
  <c r="C7" i="7"/>
  <c r="C4" i="7"/>
  <c r="C10" i="6"/>
  <c r="C11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E139491-66FF-4BD5-BFB5-F67995FFA72A}" name="MS Access Database_Query" type="1" refreshedVersion="6" background="1" saveData="1">
    <dbPr connection="DSN=MS Access Database;DBQ=D:\Home\Rhee\자격증 스터디\컴퓨터 활용능력\컴퓨터 활용능력 실기\1.스프레드시트\강의필기\봉쌤 유투부 엑셀 1급 강의\외부데이터\VOD목록.accdb;DefaultDir=D:\Home\Rhee\자격증 스터디\컴퓨터 활용능력\컴퓨터 활용능력 실기\1.스프레드시트\강의필기\봉쌤 유투부 엑셀 1급 강의\외부데이터;DriverId=25;FIL=MS Access;MaxBufferSize=2048;PageTimeout=5;" command="SELECT VOD목록.관리코드, VOD목록.타이틀명, VOD목록.장르, VOD목록.시간, VOD목록.입고일자, VOD목록.대여료, VOD목록.제작년도_x000d__x000a_FROM VOD목록 VOD목록_x000d__x000a_WHERE (VOD목록.장르 Like '액션%') AND (VOD목록.제작년도&gt;=2018.0 And VOD목록.제작년도&lt;=2019.0) OR (VOD목록.장르 Like '드라마%') AND (VOD목록.제작년도&gt;=2018.0 And VOD목록.제작년도&lt;=2019.0)_x000d__x000a_ORDER BY VOD목록.장르, VOD목록.입고일자 DESC"/>
  </connection>
</connections>
</file>

<file path=xl/sharedStrings.xml><?xml version="1.0" encoding="utf-8"?>
<sst xmlns="http://schemas.openxmlformats.org/spreadsheetml/2006/main" count="491" uniqueCount="239">
  <si>
    <t>관리코드</t>
  </si>
  <si>
    <t>타이틀명</t>
  </si>
  <si>
    <t>입고일자</t>
  </si>
  <si>
    <t>가격</t>
  </si>
  <si>
    <t>장르</t>
  </si>
  <si>
    <t>시간</t>
  </si>
  <si>
    <t>대여료</t>
  </si>
  <si>
    <t>대여기간</t>
  </si>
  <si>
    <t>제작년도</t>
  </si>
  <si>
    <t>DVD-01</t>
  </si>
  <si>
    <t>액션</t>
  </si>
  <si>
    <t>DVD-02</t>
  </si>
  <si>
    <t>DVD-03</t>
  </si>
  <si>
    <t>걸갑스</t>
  </si>
  <si>
    <t>DVD-04</t>
  </si>
  <si>
    <t>명랑</t>
  </si>
  <si>
    <t>DVD-05</t>
  </si>
  <si>
    <t>DVD-06</t>
  </si>
  <si>
    <t>생일</t>
  </si>
  <si>
    <t>드라마</t>
  </si>
  <si>
    <t>DVD-07</t>
  </si>
  <si>
    <t>캡틴 마블</t>
  </si>
  <si>
    <t>DVD-08</t>
  </si>
  <si>
    <t>DVD-09</t>
  </si>
  <si>
    <t>돈</t>
  </si>
  <si>
    <t>범죄</t>
  </si>
  <si>
    <t>DVD-10</t>
  </si>
  <si>
    <t>기생충</t>
  </si>
  <si>
    <t>DVD-11</t>
  </si>
  <si>
    <t>극한직업</t>
  </si>
  <si>
    <t>코미디</t>
  </si>
  <si>
    <t>DVD-12</t>
  </si>
  <si>
    <t>증인</t>
  </si>
  <si>
    <t>DVD-13</t>
  </si>
  <si>
    <t>뺑반</t>
  </si>
  <si>
    <t>DVD-14</t>
  </si>
  <si>
    <t>기묘한 가족</t>
  </si>
  <si>
    <t>DVD-15</t>
  </si>
  <si>
    <t>반지의 제왕</t>
  </si>
  <si>
    <t>모험</t>
  </si>
  <si>
    <t>DVD-16</t>
  </si>
  <si>
    <t>알리타</t>
  </si>
  <si>
    <t>DVD-17</t>
  </si>
  <si>
    <t>사바하</t>
  </si>
  <si>
    <t>미스터리</t>
  </si>
  <si>
    <t>DVD-18</t>
  </si>
  <si>
    <t>DVD-19</t>
  </si>
  <si>
    <t>극장판 헬로카봇</t>
    <phoneticPr fontId="2" type="noConversion"/>
  </si>
  <si>
    <t>애니메이션</t>
  </si>
  <si>
    <t>DVD-20</t>
  </si>
  <si>
    <t>더 포스트</t>
  </si>
  <si>
    <t>DVD-21</t>
  </si>
  <si>
    <t>국가부도의 날</t>
  </si>
  <si>
    <t>DVD-22</t>
  </si>
  <si>
    <t>아이 토냐</t>
  </si>
  <si>
    <t>DVD-23</t>
  </si>
  <si>
    <t>코코</t>
  </si>
  <si>
    <t>DVD-24</t>
  </si>
  <si>
    <t>국제시장</t>
  </si>
  <si>
    <t>DVD-25</t>
  </si>
  <si>
    <t>플로리다 프로젝트</t>
  </si>
  <si>
    <t>DVD-26</t>
  </si>
  <si>
    <t>퍼스트맨</t>
  </si>
  <si>
    <t>DVD-27</t>
  </si>
  <si>
    <t>어느 가족</t>
  </si>
  <si>
    <t>DVD-28</t>
  </si>
  <si>
    <t>DVD-29</t>
  </si>
  <si>
    <t>콜 미 바이 유어 네임</t>
  </si>
  <si>
    <t>DVD-30</t>
  </si>
  <si>
    <t>레이디 버드</t>
  </si>
  <si>
    <t>[표1]</t>
    <phoneticPr fontId="2" type="noConversion"/>
  </si>
  <si>
    <t>[표1]</t>
    <phoneticPr fontId="2" type="noConversion"/>
  </si>
  <si>
    <t>과목ID</t>
    <phoneticPr fontId="2" type="noConversion"/>
  </si>
  <si>
    <t>이름</t>
    <phoneticPr fontId="2" type="noConversion"/>
  </si>
  <si>
    <t>학과</t>
    <phoneticPr fontId="2" type="noConversion"/>
  </si>
  <si>
    <t>과제</t>
    <phoneticPr fontId="2" type="noConversion"/>
  </si>
  <si>
    <t>출석</t>
    <phoneticPr fontId="2" type="noConversion"/>
  </si>
  <si>
    <t>중간</t>
    <phoneticPr fontId="2" type="noConversion"/>
  </si>
  <si>
    <t>기말</t>
    <phoneticPr fontId="2" type="noConversion"/>
  </si>
  <si>
    <t>총점</t>
    <phoneticPr fontId="2" type="noConversion"/>
  </si>
  <si>
    <t>전공여부</t>
    <phoneticPr fontId="2" type="noConversion"/>
  </si>
  <si>
    <t>등급</t>
    <phoneticPr fontId="2" type="noConversion"/>
  </si>
  <si>
    <t>컴퓨터공학과</t>
    <phoneticPr fontId="2" type="noConversion"/>
  </si>
  <si>
    <t>S002</t>
    <phoneticPr fontId="2" type="noConversion"/>
  </si>
  <si>
    <t>전자공학과</t>
    <phoneticPr fontId="2" type="noConversion"/>
  </si>
  <si>
    <t>P005</t>
    <phoneticPr fontId="2" type="noConversion"/>
  </si>
  <si>
    <t>S003</t>
    <phoneticPr fontId="2" type="noConversion"/>
  </si>
  <si>
    <t>P002</t>
    <phoneticPr fontId="2" type="noConversion"/>
  </si>
  <si>
    <t>S004</t>
    <phoneticPr fontId="2" type="noConversion"/>
  </si>
  <si>
    <t>P006</t>
    <phoneticPr fontId="2" type="noConversion"/>
  </si>
  <si>
    <t>P008</t>
    <phoneticPr fontId="2" type="noConversion"/>
  </si>
  <si>
    <t>S005</t>
    <phoneticPr fontId="2" type="noConversion"/>
  </si>
  <si>
    <t>이건홍</t>
    <phoneticPr fontId="2" type="noConversion"/>
  </si>
  <si>
    <t>이용현</t>
  </si>
  <si>
    <t>P007</t>
    <phoneticPr fontId="2" type="noConversion"/>
  </si>
  <si>
    <t>나웅선</t>
  </si>
  <si>
    <t>김보미</t>
  </si>
  <si>
    <t>성도식</t>
    <phoneticPr fontId="2" type="noConversion"/>
  </si>
  <si>
    <t>유성진</t>
  </si>
  <si>
    <t>[표2]</t>
    <phoneticPr fontId="2" type="noConversion"/>
  </si>
  <si>
    <t>강의코드</t>
    <phoneticPr fontId="2" type="noConversion"/>
  </si>
  <si>
    <t>C</t>
    <phoneticPr fontId="2" type="noConversion"/>
  </si>
  <si>
    <t>S</t>
    <phoneticPr fontId="2" type="noConversion"/>
  </si>
  <si>
    <t>P</t>
    <phoneticPr fontId="2" type="noConversion"/>
  </si>
  <si>
    <t>강의진행</t>
    <phoneticPr fontId="2" type="noConversion"/>
  </si>
  <si>
    <t>전공</t>
    <phoneticPr fontId="2" type="noConversion"/>
  </si>
  <si>
    <t>교양</t>
    <phoneticPr fontId="2" type="noConversion"/>
  </si>
  <si>
    <t>전공선택</t>
    <phoneticPr fontId="2" type="noConversion"/>
  </si>
  <si>
    <t>전공필수</t>
    <phoneticPr fontId="2" type="noConversion"/>
  </si>
  <si>
    <t>과목</t>
    <phoneticPr fontId="2" type="noConversion"/>
  </si>
  <si>
    <t>영어</t>
    <phoneticPr fontId="2" type="noConversion"/>
  </si>
  <si>
    <t>한국어</t>
    <phoneticPr fontId="2" type="noConversion"/>
  </si>
  <si>
    <t>기타</t>
    <phoneticPr fontId="2" type="noConversion"/>
  </si>
  <si>
    <t>[표3]</t>
    <phoneticPr fontId="2" type="noConversion"/>
  </si>
  <si>
    <t>[표4]</t>
    <phoneticPr fontId="2" type="noConversion"/>
  </si>
  <si>
    <t>중간+기말</t>
    <phoneticPr fontId="2" type="noConversion"/>
  </si>
  <si>
    <t>A</t>
    <phoneticPr fontId="2" type="noConversion"/>
  </si>
  <si>
    <t>B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</si>
  <si>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</si>
  <si>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</si>
  <si>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</si>
  <si>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평점</t>
    <phoneticPr fontId="2" type="noConversion"/>
  </si>
  <si>
    <t>제품명</t>
    <phoneticPr fontId="2" type="noConversion"/>
  </si>
  <si>
    <t>판매금액</t>
    <phoneticPr fontId="2" type="noConversion"/>
  </si>
  <si>
    <t>할인금액</t>
    <phoneticPr fontId="2" type="noConversion"/>
  </si>
  <si>
    <t>수량</t>
    <phoneticPr fontId="2" type="noConversion"/>
  </si>
  <si>
    <t>금액</t>
    <phoneticPr fontId="2" type="noConversion"/>
  </si>
  <si>
    <t>가전제품 판매 현황</t>
    <phoneticPr fontId="2" type="noConversion"/>
  </si>
  <si>
    <t>R003</t>
  </si>
  <si>
    <t>R004</t>
  </si>
  <si>
    <t>R007</t>
  </si>
  <si>
    <t>R008</t>
  </si>
  <si>
    <t>R001</t>
  </si>
  <si>
    <t>R002</t>
  </si>
  <si>
    <t>R</t>
  </si>
  <si>
    <t>텔레비전</t>
    <phoneticPr fontId="2" type="noConversion"/>
  </si>
  <si>
    <t>1,500,000원</t>
  </si>
  <si>
    <t>VOD-01</t>
    <phoneticPr fontId="2" type="noConversion"/>
  </si>
  <si>
    <t>VOD-02</t>
  </si>
  <si>
    <t>VOD-03</t>
  </si>
  <si>
    <t>VOD-04</t>
  </si>
  <si>
    <t>VOD-05</t>
  </si>
  <si>
    <t>VOD-06</t>
  </si>
  <si>
    <t>VOD-07</t>
  </si>
  <si>
    <t>VOD-08</t>
  </si>
  <si>
    <t>VOD-09</t>
  </si>
  <si>
    <t>VOD-10</t>
  </si>
  <si>
    <t>VOD-11</t>
  </si>
  <si>
    <t>VOD-12</t>
  </si>
  <si>
    <t>VOD-13</t>
  </si>
  <si>
    <t>VOD-14</t>
  </si>
  <si>
    <t>VOD-15</t>
  </si>
  <si>
    <t>VOD-16</t>
  </si>
  <si>
    <t>VOD-17</t>
  </si>
  <si>
    <t>VOD-18</t>
  </si>
  <si>
    <t>VOD-19</t>
  </si>
  <si>
    <t>VOD-20</t>
  </si>
  <si>
    <t>VOD-21</t>
  </si>
  <si>
    <t>VOD-22</t>
  </si>
  <si>
    <t>VOD-23</t>
  </si>
  <si>
    <t>VOD-24</t>
  </si>
  <si>
    <t>VOD-25</t>
  </si>
  <si>
    <t>VOD-26</t>
  </si>
  <si>
    <t>VOD-27</t>
  </si>
  <si>
    <t>VOD-28</t>
  </si>
  <si>
    <t>VOD-29</t>
  </si>
  <si>
    <t>VOD-30</t>
  </si>
  <si>
    <t>텔레토비</t>
    <phoneticPr fontId="2" type="noConversion"/>
  </si>
  <si>
    <t>어벤져스</t>
    <phoneticPr fontId="2" type="noConversion"/>
  </si>
  <si>
    <t>명탐정 코낭</t>
    <phoneticPr fontId="2" type="noConversion"/>
  </si>
  <si>
    <t>부산행</t>
    <phoneticPr fontId="2" type="noConversion"/>
  </si>
  <si>
    <t>신과함께</t>
    <phoneticPr fontId="2" type="noConversion"/>
  </si>
  <si>
    <t>봄날은 간다</t>
    <phoneticPr fontId="2" type="noConversion"/>
  </si>
  <si>
    <t>보라돌이</t>
    <phoneticPr fontId="2" type="noConversion"/>
  </si>
  <si>
    <t>뚜비</t>
    <phoneticPr fontId="2" type="noConversion"/>
  </si>
  <si>
    <t>나나</t>
    <phoneticPr fontId="2" type="noConversion"/>
  </si>
  <si>
    <t>뽀</t>
    <phoneticPr fontId="2" type="noConversion"/>
  </si>
  <si>
    <t>봉쌤</t>
    <phoneticPr fontId="2" type="noConversion"/>
  </si>
  <si>
    <t>홍길동</t>
    <phoneticPr fontId="2" type="noConversion"/>
  </si>
  <si>
    <t>김영태</t>
    <phoneticPr fontId="2" type="noConversion"/>
  </si>
  <si>
    <t>송종구</t>
    <phoneticPr fontId="2" type="noConversion"/>
  </si>
  <si>
    <t>김공구</t>
    <phoneticPr fontId="2" type="noConversion"/>
  </si>
  <si>
    <t>강가여</t>
    <phoneticPr fontId="2" type="noConversion"/>
  </si>
  <si>
    <t>우병구</t>
    <phoneticPr fontId="2" type="noConversion"/>
  </si>
  <si>
    <t>심이네</t>
    <phoneticPr fontId="2" type="noConversion"/>
  </si>
  <si>
    <t>갱생</t>
    <phoneticPr fontId="2" type="noConversion"/>
  </si>
  <si>
    <t>마제스티</t>
    <phoneticPr fontId="2" type="noConversion"/>
  </si>
  <si>
    <t>페이코</t>
    <phoneticPr fontId="2" type="noConversion"/>
  </si>
  <si>
    <t>기말</t>
    <phoneticPr fontId="2" type="noConversion"/>
  </si>
  <si>
    <t>인턴시험</t>
    <phoneticPr fontId="2" type="noConversion"/>
  </si>
  <si>
    <t>세탁기</t>
    <phoneticPr fontId="2" type="noConversion"/>
  </si>
  <si>
    <t>공기청정기</t>
    <phoneticPr fontId="2" type="noConversion"/>
  </si>
  <si>
    <t>건조기</t>
    <phoneticPr fontId="2" type="noConversion"/>
  </si>
  <si>
    <t>냉장고</t>
    <phoneticPr fontId="2" type="noConversion"/>
  </si>
  <si>
    <t>에어컨</t>
    <phoneticPr fontId="2" type="noConversion"/>
  </si>
  <si>
    <t>과제1 - 기본작업(25점)</t>
    <phoneticPr fontId="2" type="noConversion"/>
  </si>
  <si>
    <t>1. 기본작업-1 시트에서 '외부데이터' 가져오기 기능을 이용하여 VOD목록.accdb 데이터를 다음의 조건에 따라 B4셀을 시작으로 표시하시오. (10점)</t>
    <phoneticPr fontId="2" type="noConversion"/>
  </si>
  <si>
    <t xml:space="preserve">- VOD목록 테이블의 데이터 관리코드, 타이틀명, 장르, 시간, 입고일자, 대여료, 제작년도 열의 순서로 가져오시오. </t>
    <phoneticPr fontId="2" type="noConversion"/>
  </si>
  <si>
    <t xml:space="preserve">- 장르가 액션 또는 드라마로 시작되고, 제작년도가 2018년 이상 2019년 이하인 행만 대상으로 가져올 것. </t>
    <phoneticPr fontId="2" type="noConversion"/>
  </si>
  <si>
    <t>- 장르 기준으로 오름차순 정렬하고, 입고일자를 내림차순 정렬하여 가져오시오 .</t>
    <phoneticPr fontId="2" type="noConversion"/>
  </si>
  <si>
    <t>부산행</t>
  </si>
  <si>
    <t>어벤져스</t>
  </si>
  <si>
    <t>VOD-01</t>
  </si>
  <si>
    <t>텔레토비</t>
  </si>
  <si>
    <t>명탐정 코낭</t>
  </si>
  <si>
    <t>봄날은 간다</t>
  </si>
  <si>
    <t>관리코드</t>
    <phoneticPr fontId="2" type="noConversion"/>
  </si>
  <si>
    <t>2. 기본작업-2시트에서 다음과 같이 고급 필터를 수행하시오. (5점)</t>
    <phoneticPr fontId="2" type="noConversion"/>
  </si>
  <si>
    <t xml:space="preserve">- A2:G32 영역에서 관리코드의 다섯번째 글자가 1이고, 시간이 100이상이고 150미만인 행만을 대상으로 표시하시오. </t>
    <phoneticPr fontId="2" type="noConversion"/>
  </si>
  <si>
    <t>- 조건은 A34:A35 영역 내에 알맞게 입력하시오. (MID, AND함수 사용)</t>
    <phoneticPr fontId="2" type="noConversion"/>
  </si>
  <si>
    <t xml:space="preserve">- 결과는 A37셀부터 표시할 것 </t>
    <phoneticPr fontId="2" type="noConversion"/>
  </si>
  <si>
    <t xml:space="preserve"> </t>
    <phoneticPr fontId="2" type="noConversion"/>
  </si>
  <si>
    <t>조건</t>
    <phoneticPr fontId="2" type="noConversion"/>
  </si>
  <si>
    <t xml:space="preserve">3. 기본작업-2 시트에서 다음과 같이 조건부 서식을 설정하시오. </t>
    <phoneticPr fontId="2" type="noConversion"/>
  </si>
  <si>
    <t>- A3:G32영역에 대해서 입고일자 의 월의 6또는 7이고, 가격이 25000이상인 행 전체에 대하여 글꼴 스타일 굵게, 기울임, 글꼴색 녹색적용</t>
    <phoneticPr fontId="2" type="noConversion"/>
  </si>
  <si>
    <t>- MONTH, AND, OR함수 사용</t>
    <phoneticPr fontId="2" type="noConversion"/>
  </si>
  <si>
    <t>4. 기본작업-3 시트에서 다음과 같이 시트보호를 설정하시오.(5점)</t>
    <phoneticPr fontId="2" type="noConversion"/>
  </si>
  <si>
    <t xml:space="preserve">- G3:G10 영역에 수식 숨기기를 적용하고 차트는 편집할 수 없도록 잠금을 적용한 후 잠긴 셀의 내용과 워크시트를 보호하시오. </t>
    <phoneticPr fontId="2" type="noConversion"/>
  </si>
  <si>
    <t xml:space="preserve">- 잠긴 셀의 선택과 잠기지 않은 셀은 선택, 정렬을 허용하시오. </t>
    <phoneticPr fontId="2" type="noConversion"/>
  </si>
  <si>
    <t xml:space="preserve">- 시트보호 암호는 지정하지 말것 </t>
    <phoneticPr fontId="2" type="noConversion"/>
  </si>
  <si>
    <t xml:space="preserve">과제2 - 계산작업(30점) - 총 문항수: 5문항 - 문항당 점수 6점 </t>
    <phoneticPr fontId="2" type="noConversion"/>
  </si>
  <si>
    <t xml:space="preserve">1. 표1의 과목ID와 학과를 이용하여 표3의 B31:C33 영역에 강의코드와 학과별 인원수를 계산하시오. </t>
    <phoneticPr fontId="2" type="noConversion"/>
  </si>
  <si>
    <t>- 강의코드는 과목ID의 첫번째 글자임</t>
    <phoneticPr fontId="2" type="noConversion"/>
  </si>
  <si>
    <t>- COUNT, IF, LEFT함수를 사용한 배열수식(ctrl+shift+enter)</t>
    <phoneticPr fontId="2" type="noConversion"/>
  </si>
  <si>
    <t xml:space="preserve">2. 사용자 정의 함수 bs총점 을 작성하여 H3:H23 영역에 총점을 계산하여 표시하시오. </t>
    <phoneticPr fontId="2" type="noConversion"/>
  </si>
  <si>
    <t>- bs총점은 과제, 출석, 중간, 기말을 인수로 받아 계산한 것임.</t>
    <phoneticPr fontId="2" type="noConversion"/>
  </si>
  <si>
    <t>- 총점 = 과제+출석+중간+기말+추가점수</t>
    <phoneticPr fontId="2" type="noConversion"/>
  </si>
  <si>
    <t>- 추가점수는 중간과 기말 점수가 모두 20점 이상이면 5점 그 외는 0으로 계산</t>
    <phoneticPr fontId="2" type="noConversion"/>
  </si>
  <si>
    <t>- IF~ELSE문 사용</t>
    <phoneticPr fontId="2" type="noConversion"/>
  </si>
  <si>
    <t>Public Function bs총점(과제, 출석, 중간, 기말)</t>
    <phoneticPr fontId="2" type="noConversion"/>
  </si>
  <si>
    <t xml:space="preserve">End Function </t>
    <phoneticPr fontId="2" type="noConversion"/>
  </si>
  <si>
    <t xml:space="preserve">3. 표1의 과목ID와 과제, 출석, 중간, 기말을 이용하여 D31:G33 영역에 강의코드별 최대 점수를 계산하여 표시하시오. </t>
    <phoneticPr fontId="2" type="noConversion"/>
  </si>
  <si>
    <t>- MAX, IF, LEFT함수를 이용한 배열수식</t>
    <phoneticPr fontId="2" type="noConversion"/>
  </si>
  <si>
    <t xml:space="preserve">4. 표1의 과목ID와 표2를 이용하여 I3:I23 영역에 전공여부를 표시하시오. </t>
    <phoneticPr fontId="2" type="noConversion"/>
  </si>
  <si>
    <t xml:space="preserve">- 전공여부는 과목ID의 첫번째 글자(강의코드)를 이용하여 표2에서 전공을 추출하고, 과목ID의 맨 마지막 글자(강의진행)를 이용하여 표2에서 과목을 추출하시오. </t>
    <phoneticPr fontId="2" type="noConversion"/>
  </si>
  <si>
    <t>-표시 예: 과목ID가 R001인 경우→교양(영어)</t>
    <phoneticPr fontId="2" type="noConversion"/>
  </si>
  <si>
    <t xml:space="preserve">-HLOOKUP,LEFT,RIGHT,VALUE함수와 &amp; 연산자 사용 </t>
    <phoneticPr fontId="2" type="noConversion"/>
  </si>
  <si>
    <t xml:space="preserve">5. 표1 의 중간과 기말 점수를 이용하여 J3:J23 영역에 등급을 표시하시오. </t>
    <phoneticPr fontId="2" type="noConversion"/>
  </si>
  <si>
    <t>-INDEX, MATCH함수 사용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</si>
</sst>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General&quot;이상&quot;"/>
    <numFmt numFmtId="177" formatCode="General&quot;이하&quot;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aj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/>
    </xf>
    <xf numFmtId="0" fontId="0" fillId="0" borderId="0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2" borderId="1" xfId="0" applyFill="1" applyBorder="1">
      <alignment vertical="center"/>
    </xf>
    <xf numFmtId="41" fontId="0" fillId="0" borderId="1" xfId="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0" fontId="3" fillId="0" borderId="3" xfId="0" applyFont="1" applyFill="1" applyBorder="1" applyAlignment="1">
      <alignment horizontal="left" vertical="center"/>
    </xf>
    <xf numFmtId="0" fontId="0" fillId="0" borderId="0" xfId="0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horizontal="left" vertical="center"/>
    </xf>
    <xf numFmtId="0" fontId="0" fillId="0" borderId="1" xfId="0" applyBorder="1" applyProtection="1">
      <alignment vertical="center"/>
      <protection hidden="1"/>
    </xf>
    <xf numFmtId="0" fontId="4" fillId="0" borderId="0" xfId="0" applyFont="1" applyAlignment="1">
      <alignment horizontal="center" vertical="center"/>
    </xf>
    <xf numFmtId="0" fontId="0" fillId="3" borderId="4" xfId="0" applyFill="1" applyBorder="1" applyAlignment="1">
      <alignment horizontal="left" vertical="center"/>
    </xf>
    <xf numFmtId="176" fontId="0" fillId="0" borderId="5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2">
    <dxf>
      <font>
        <b/>
        <i/>
        <color rgb="FF00B050"/>
      </font>
    </dxf>
    <dxf>
      <numFmt numFmtId="27" formatCode="yyyy/mm/dd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'기본작업-3'!$C$2</c:f>
              <c:strCache>
                <c:ptCount val="1"/>
                <c:pt idx="0">
                  <c:v>과제</c:v>
                </c:pt>
              </c:strCache>
            </c:strRef>
          </c:tx>
          <c:invertIfNegative val="0"/>
          <c:cat>
            <c:strRef>
              <c:f>'기본작업-3'!$A$3:$A$10</c:f>
              <c:strCache>
                <c:ptCount val="8"/>
                <c:pt idx="0">
                  <c:v>보라돌이</c:v>
                </c:pt>
                <c:pt idx="1">
                  <c:v>뚜비</c:v>
                </c:pt>
                <c:pt idx="2">
                  <c:v>나나</c:v>
                </c:pt>
                <c:pt idx="3">
                  <c:v>뽀</c:v>
                </c:pt>
                <c:pt idx="4">
                  <c:v>봉쌤</c:v>
                </c:pt>
                <c:pt idx="5">
                  <c:v>홍길동</c:v>
                </c:pt>
                <c:pt idx="6">
                  <c:v>김영태</c:v>
                </c:pt>
                <c:pt idx="7">
                  <c:v>송종구</c:v>
                </c:pt>
              </c:strCache>
            </c:strRef>
          </c:cat>
          <c:val>
            <c:numRef>
              <c:f>'기본작업-3'!$C$3:$C$10</c:f>
              <c:numCache>
                <c:formatCode>General</c:formatCode>
                <c:ptCount val="8"/>
                <c:pt idx="0">
                  <c:v>13</c:v>
                </c:pt>
                <c:pt idx="1">
                  <c:v>19</c:v>
                </c:pt>
                <c:pt idx="2">
                  <c:v>14</c:v>
                </c:pt>
                <c:pt idx="3">
                  <c:v>20</c:v>
                </c:pt>
                <c:pt idx="4">
                  <c:v>10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52-4432-A705-F9B7C7F6D5B7}"/>
            </c:ext>
          </c:extLst>
        </c:ser>
        <c:ser>
          <c:idx val="1"/>
          <c:order val="1"/>
          <c:tx>
            <c:strRef>
              <c:f>'기본작업-3'!$D$2</c:f>
              <c:strCache>
                <c:ptCount val="1"/>
                <c:pt idx="0">
                  <c:v>출석</c:v>
                </c:pt>
              </c:strCache>
            </c:strRef>
          </c:tx>
          <c:invertIfNegative val="0"/>
          <c:cat>
            <c:strRef>
              <c:f>'기본작업-3'!$A$3:$A$10</c:f>
              <c:strCache>
                <c:ptCount val="8"/>
                <c:pt idx="0">
                  <c:v>보라돌이</c:v>
                </c:pt>
                <c:pt idx="1">
                  <c:v>뚜비</c:v>
                </c:pt>
                <c:pt idx="2">
                  <c:v>나나</c:v>
                </c:pt>
                <c:pt idx="3">
                  <c:v>뽀</c:v>
                </c:pt>
                <c:pt idx="4">
                  <c:v>봉쌤</c:v>
                </c:pt>
                <c:pt idx="5">
                  <c:v>홍길동</c:v>
                </c:pt>
                <c:pt idx="6">
                  <c:v>김영태</c:v>
                </c:pt>
                <c:pt idx="7">
                  <c:v>송종구</c:v>
                </c:pt>
              </c:strCache>
            </c:strRef>
          </c:cat>
          <c:val>
            <c:numRef>
              <c:f>'기본작업-3'!$D$3:$D$10</c:f>
              <c:numCache>
                <c:formatCode>General</c:formatCode>
                <c:ptCount val="8"/>
                <c:pt idx="0">
                  <c:v>11</c:v>
                </c:pt>
                <c:pt idx="1">
                  <c:v>10</c:v>
                </c:pt>
                <c:pt idx="2">
                  <c:v>11</c:v>
                </c:pt>
                <c:pt idx="3">
                  <c:v>15</c:v>
                </c:pt>
                <c:pt idx="4">
                  <c:v>15</c:v>
                </c:pt>
                <c:pt idx="5">
                  <c:v>12</c:v>
                </c:pt>
                <c:pt idx="6">
                  <c:v>19</c:v>
                </c:pt>
                <c:pt idx="7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52-4432-A705-F9B7C7F6D5B7}"/>
            </c:ext>
          </c:extLst>
        </c:ser>
        <c:ser>
          <c:idx val="2"/>
          <c:order val="2"/>
          <c:tx>
            <c:strRef>
              <c:f>'기본작업-3'!$E$2</c:f>
              <c:strCache>
                <c:ptCount val="1"/>
                <c:pt idx="0">
                  <c:v>중간</c:v>
                </c:pt>
              </c:strCache>
            </c:strRef>
          </c:tx>
          <c:invertIfNegative val="0"/>
          <c:cat>
            <c:strRef>
              <c:f>'기본작업-3'!$A$3:$A$10</c:f>
              <c:strCache>
                <c:ptCount val="8"/>
                <c:pt idx="0">
                  <c:v>보라돌이</c:v>
                </c:pt>
                <c:pt idx="1">
                  <c:v>뚜비</c:v>
                </c:pt>
                <c:pt idx="2">
                  <c:v>나나</c:v>
                </c:pt>
                <c:pt idx="3">
                  <c:v>뽀</c:v>
                </c:pt>
                <c:pt idx="4">
                  <c:v>봉쌤</c:v>
                </c:pt>
                <c:pt idx="5">
                  <c:v>홍길동</c:v>
                </c:pt>
                <c:pt idx="6">
                  <c:v>김영태</c:v>
                </c:pt>
                <c:pt idx="7">
                  <c:v>송종구</c:v>
                </c:pt>
              </c:strCache>
            </c:strRef>
          </c:cat>
          <c:val>
            <c:numRef>
              <c:f>'기본작업-3'!$E$3:$E$10</c:f>
              <c:numCache>
                <c:formatCode>General</c:formatCode>
                <c:ptCount val="8"/>
                <c:pt idx="0">
                  <c:v>23</c:v>
                </c:pt>
                <c:pt idx="1">
                  <c:v>16</c:v>
                </c:pt>
                <c:pt idx="2">
                  <c:v>15</c:v>
                </c:pt>
                <c:pt idx="3">
                  <c:v>21</c:v>
                </c:pt>
                <c:pt idx="4">
                  <c:v>22</c:v>
                </c:pt>
                <c:pt idx="5">
                  <c:v>27</c:v>
                </c:pt>
                <c:pt idx="6">
                  <c:v>15</c:v>
                </c:pt>
                <c:pt idx="7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52-4432-A705-F9B7C7F6D5B7}"/>
            </c:ext>
          </c:extLst>
        </c:ser>
        <c:ser>
          <c:idx val="3"/>
          <c:order val="3"/>
          <c:tx>
            <c:strRef>
              <c:f>'기본작업-3'!$F$2</c:f>
              <c:strCache>
                <c:ptCount val="1"/>
                <c:pt idx="0">
                  <c:v>기말</c:v>
                </c:pt>
              </c:strCache>
            </c:strRef>
          </c:tx>
          <c:invertIfNegative val="0"/>
          <c:cat>
            <c:strRef>
              <c:f>'기본작업-3'!$A$3:$A$10</c:f>
              <c:strCache>
                <c:ptCount val="8"/>
                <c:pt idx="0">
                  <c:v>보라돌이</c:v>
                </c:pt>
                <c:pt idx="1">
                  <c:v>뚜비</c:v>
                </c:pt>
                <c:pt idx="2">
                  <c:v>나나</c:v>
                </c:pt>
                <c:pt idx="3">
                  <c:v>뽀</c:v>
                </c:pt>
                <c:pt idx="4">
                  <c:v>봉쌤</c:v>
                </c:pt>
                <c:pt idx="5">
                  <c:v>홍길동</c:v>
                </c:pt>
                <c:pt idx="6">
                  <c:v>김영태</c:v>
                </c:pt>
                <c:pt idx="7">
                  <c:v>송종구</c:v>
                </c:pt>
              </c:strCache>
            </c:strRef>
          </c:cat>
          <c:val>
            <c:numRef>
              <c:f>'기본작업-3'!$F$3:$F$10</c:f>
              <c:numCache>
                <c:formatCode>General</c:formatCode>
                <c:ptCount val="8"/>
                <c:pt idx="0">
                  <c:v>30</c:v>
                </c:pt>
                <c:pt idx="1">
                  <c:v>26</c:v>
                </c:pt>
                <c:pt idx="2">
                  <c:v>25</c:v>
                </c:pt>
                <c:pt idx="3">
                  <c:v>15</c:v>
                </c:pt>
                <c:pt idx="4">
                  <c:v>27</c:v>
                </c:pt>
                <c:pt idx="5">
                  <c:v>28</c:v>
                </c:pt>
                <c:pt idx="6">
                  <c:v>23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52-4432-A705-F9B7C7F6D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2553344"/>
        <c:axId val="335272128"/>
      </c:barChart>
      <c:catAx>
        <c:axId val="3625533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5272128"/>
        <c:crosses val="autoZero"/>
        <c:auto val="1"/>
        <c:lblAlgn val="ctr"/>
        <c:lblOffset val="100"/>
        <c:noMultiLvlLbl val="0"/>
      </c:catAx>
      <c:valAx>
        <c:axId val="335272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2553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판매금액</c:v>
                </c:pt>
              </c:strCache>
            </c:strRef>
          </c:tx>
          <c:invertIfNegative val="0"/>
          <c:cat>
            <c:strRef>
              <c:f>'기타작업-1'!$A$5:$A$8</c:f>
              <c:strCache>
                <c:ptCount val="4"/>
                <c:pt idx="0">
                  <c:v>공기청정기</c:v>
                </c:pt>
                <c:pt idx="1">
                  <c:v>건조기</c:v>
                </c:pt>
                <c:pt idx="2">
                  <c:v>냉장고</c:v>
                </c:pt>
                <c:pt idx="3">
                  <c:v>에어컨</c:v>
                </c:pt>
              </c:strCache>
            </c:strRef>
          </c:cat>
          <c:val>
            <c:numRef>
              <c:f>'기타작업-1'!$B$5:$B$8</c:f>
              <c:numCache>
                <c:formatCode>_(* #,##0_);_(* \(#,##0\);_(* "-"_);_(@_)</c:formatCode>
                <c:ptCount val="4"/>
                <c:pt idx="0">
                  <c:v>1300000</c:v>
                </c:pt>
                <c:pt idx="1">
                  <c:v>1800000</c:v>
                </c:pt>
                <c:pt idx="2">
                  <c:v>3540000</c:v>
                </c:pt>
                <c:pt idx="3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90-4737-86EF-546A7B6AD9D2}"/>
            </c:ext>
          </c:extLst>
        </c:ser>
        <c:ser>
          <c:idx val="1"/>
          <c:order val="1"/>
          <c:tx>
            <c:strRef>
              <c:f>'기타작업-1'!$C$3</c:f>
              <c:strCache>
                <c:ptCount val="1"/>
                <c:pt idx="0">
                  <c:v>할인금액</c:v>
                </c:pt>
              </c:strCache>
            </c:strRef>
          </c:tx>
          <c:invertIfNegative val="0"/>
          <c:cat>
            <c:strRef>
              <c:f>'기타작업-1'!$A$5:$A$8</c:f>
              <c:strCache>
                <c:ptCount val="4"/>
                <c:pt idx="0">
                  <c:v>공기청정기</c:v>
                </c:pt>
                <c:pt idx="1">
                  <c:v>건조기</c:v>
                </c:pt>
                <c:pt idx="2">
                  <c:v>냉장고</c:v>
                </c:pt>
                <c:pt idx="3">
                  <c:v>에어컨</c:v>
                </c:pt>
              </c:strCache>
            </c:strRef>
          </c:cat>
          <c:val>
            <c:numRef>
              <c:f>'기타작업-1'!$C$5:$C$8</c:f>
              <c:numCache>
                <c:formatCode>_(* #,##0_);_(* \(#,##0\);_(* "-"_);_(@_)</c:formatCode>
                <c:ptCount val="4"/>
                <c:pt idx="0">
                  <c:v>1031300</c:v>
                </c:pt>
                <c:pt idx="1">
                  <c:v>1475600</c:v>
                </c:pt>
                <c:pt idx="2">
                  <c:v>3009000</c:v>
                </c:pt>
                <c:pt idx="3">
                  <c:v>2181900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90-4737-86EF-546A7B6AD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9264512"/>
        <c:axId val="212338368"/>
      </c:barChart>
      <c:catAx>
        <c:axId val="21926451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212338368"/>
        <c:crosses val="autoZero"/>
        <c:auto val="1"/>
        <c:lblAlgn val="ctr"/>
        <c:lblOffset val="100"/>
        <c:noMultiLvlLbl val="0"/>
      </c:catAx>
      <c:valAx>
        <c:axId val="21233836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219264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2.png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209549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0</xdr:colOff>
      <xdr:row>3</xdr:row>
      <xdr:rowOff>0</xdr:rowOff>
    </xdr:from>
    <xdr:to>
      <xdr:col>28</xdr:col>
      <xdr:colOff>334566</xdr:colOff>
      <xdr:row>28</xdr:row>
      <xdr:rowOff>133350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31000" contrast="6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96925" y="628650"/>
          <a:ext cx="7192566" cy="53721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504825</xdr:colOff>
      <xdr:row>3</xdr:row>
      <xdr:rowOff>57150</xdr:rowOff>
    </xdr:from>
    <xdr:to>
      <xdr:col>24</xdr:col>
      <xdr:colOff>648773</xdr:colOff>
      <xdr:row>21</xdr:row>
      <xdr:rowOff>57677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-5000" contras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8375" y="685800"/>
          <a:ext cx="7687748" cy="377242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1026" name="cmb판매내역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S Access Database_Query" connectionId="1" xr16:uid="{3FA15B8E-443F-44A9-A6C3-A5CE5D90D84D}" autoFormatId="16" applyNumberFormats="0" applyBorderFormats="0" applyFontFormats="0" applyPatternFormats="0" applyAlignmentFormats="0" applyWidthHeightFormats="0">
  <queryTableRefresh nextId="8">
    <queryTableFields count="7">
      <queryTableField id="1" name="관리코드" tableColumnId="1"/>
      <queryTableField id="2" name="타이틀명" tableColumnId="2"/>
      <queryTableField id="3" name="장르" tableColumnId="3"/>
      <queryTableField id="4" name="시간" tableColumnId="4"/>
      <queryTableField id="5" name="입고일자" tableColumnId="5"/>
      <queryTableField id="6" name="대여료" tableColumnId="6"/>
      <queryTableField id="7" name="제작년도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7F619A-14E1-4695-B33A-68ED13AEB57C}" name="표_MS_Access_Database_Query" displayName="표_MS_Access_Database_Query" ref="B4:H23" tableType="queryTable" totalsRowShown="0">
  <autoFilter ref="B4:H23" xr:uid="{7911EACC-E43C-4503-9025-5332C723B843}"/>
  <tableColumns count="7">
    <tableColumn id="1" xr3:uid="{9111555E-910B-409F-B1A2-BEC5EE50569F}" uniqueName="1" name="관리코드" queryTableFieldId="1"/>
    <tableColumn id="2" xr3:uid="{B560F530-D18D-4B4D-BD02-5AF19D870F5F}" uniqueName="2" name="타이틀명" queryTableFieldId="2"/>
    <tableColumn id="3" xr3:uid="{A1DA2C57-DAAE-4122-AACA-B572D8CF3EEB}" uniqueName="3" name="장르" queryTableFieldId="3"/>
    <tableColumn id="4" xr3:uid="{BA23F24B-55A8-47D4-BE7F-A85C6E8DE05C}" uniqueName="4" name="시간" queryTableFieldId="4"/>
    <tableColumn id="5" xr3:uid="{98CEEC48-BE50-40EA-B878-61E2390485EA}" uniqueName="5" name="입고일자" queryTableFieldId="5" dataDxfId="1"/>
    <tableColumn id="6" xr3:uid="{E9059CC2-CD13-4F68-9627-EA868B367F2E}" uniqueName="6" name="대여료" queryTableFieldId="6"/>
    <tableColumn id="7" xr3:uid="{611267D3-FAB3-4A97-BC64-F27C90202C93}" uniqueName="7" name="제작년도" queryTableField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23"/>
  <sheetViews>
    <sheetView workbookViewId="0">
      <selection activeCell="I1" sqref="I1"/>
    </sheetView>
  </sheetViews>
  <sheetFormatPr defaultRowHeight="16.5" x14ac:dyDescent="0.3"/>
  <cols>
    <col min="2" max="2" width="11.25" bestFit="1" customWidth="1"/>
    <col min="3" max="3" width="20" bestFit="1" customWidth="1"/>
    <col min="4" max="5" width="7.5" bestFit="1" customWidth="1"/>
    <col min="6" max="6" width="15.5" bestFit="1" customWidth="1"/>
    <col min="7" max="7" width="9.375" bestFit="1" customWidth="1"/>
    <col min="8" max="8" width="11.25" bestFit="1" customWidth="1"/>
  </cols>
  <sheetData>
    <row r="1" spans="2:9" x14ac:dyDescent="0.3">
      <c r="I1" t="s">
        <v>195</v>
      </c>
    </row>
    <row r="2" spans="2:9" x14ac:dyDescent="0.3">
      <c r="I2" t="s">
        <v>196</v>
      </c>
    </row>
    <row r="3" spans="2:9" x14ac:dyDescent="0.3">
      <c r="I3" s="19" t="s">
        <v>197</v>
      </c>
    </row>
    <row r="4" spans="2:9" x14ac:dyDescent="0.3">
      <c r="B4" t="s">
        <v>206</v>
      </c>
      <c r="C4" t="s">
        <v>1</v>
      </c>
      <c r="D4" t="s">
        <v>4</v>
      </c>
      <c r="E4" t="s">
        <v>5</v>
      </c>
      <c r="F4" t="s">
        <v>2</v>
      </c>
      <c r="G4" t="s">
        <v>6</v>
      </c>
      <c r="H4" t="s">
        <v>8</v>
      </c>
      <c r="I4" s="19" t="s">
        <v>198</v>
      </c>
    </row>
    <row r="5" spans="2:9" x14ac:dyDescent="0.3">
      <c r="B5" t="s">
        <v>146</v>
      </c>
      <c r="C5" t="s">
        <v>27</v>
      </c>
      <c r="D5" t="s">
        <v>19</v>
      </c>
      <c r="E5">
        <v>131</v>
      </c>
      <c r="F5" s="20">
        <v>43707</v>
      </c>
      <c r="G5">
        <v>1000</v>
      </c>
      <c r="H5">
        <v>2019</v>
      </c>
      <c r="I5" s="19" t="s">
        <v>199</v>
      </c>
    </row>
    <row r="6" spans="2:9" x14ac:dyDescent="0.3">
      <c r="B6" t="s">
        <v>144</v>
      </c>
      <c r="C6" t="s">
        <v>200</v>
      </c>
      <c r="D6" t="s">
        <v>19</v>
      </c>
      <c r="E6">
        <v>96</v>
      </c>
      <c r="F6" s="20">
        <v>43627</v>
      </c>
      <c r="G6">
        <v>1000</v>
      </c>
      <c r="H6">
        <v>2019</v>
      </c>
    </row>
    <row r="7" spans="2:9" x14ac:dyDescent="0.3">
      <c r="B7" t="s">
        <v>142</v>
      </c>
      <c r="C7" t="s">
        <v>18</v>
      </c>
      <c r="D7" t="s">
        <v>19</v>
      </c>
      <c r="E7">
        <v>120</v>
      </c>
      <c r="F7" s="20">
        <v>43619</v>
      </c>
      <c r="G7">
        <v>1000</v>
      </c>
      <c r="H7">
        <v>2019</v>
      </c>
    </row>
    <row r="8" spans="2:9" x14ac:dyDescent="0.3">
      <c r="B8" t="s">
        <v>148</v>
      </c>
      <c r="C8" t="s">
        <v>32</v>
      </c>
      <c r="D8" t="s">
        <v>19</v>
      </c>
      <c r="E8">
        <v>129</v>
      </c>
      <c r="F8" s="20">
        <v>43598</v>
      </c>
      <c r="G8">
        <v>1000</v>
      </c>
      <c r="H8">
        <v>2019</v>
      </c>
    </row>
    <row r="9" spans="2:9" x14ac:dyDescent="0.3">
      <c r="B9" t="s">
        <v>157</v>
      </c>
      <c r="C9" t="s">
        <v>52</v>
      </c>
      <c r="D9" t="s">
        <v>19</v>
      </c>
      <c r="E9">
        <v>114</v>
      </c>
      <c r="F9" s="20">
        <v>43493</v>
      </c>
      <c r="G9">
        <v>1500</v>
      </c>
      <c r="H9">
        <v>2018</v>
      </c>
    </row>
    <row r="10" spans="2:9" x14ac:dyDescent="0.3">
      <c r="B10" t="s">
        <v>162</v>
      </c>
      <c r="C10" t="s">
        <v>62</v>
      </c>
      <c r="D10" t="s">
        <v>19</v>
      </c>
      <c r="E10">
        <v>141</v>
      </c>
      <c r="F10" s="20">
        <v>43483</v>
      </c>
      <c r="G10">
        <v>1000</v>
      </c>
      <c r="H10">
        <v>2018</v>
      </c>
    </row>
    <row r="11" spans="2:9" x14ac:dyDescent="0.3">
      <c r="B11" t="s">
        <v>163</v>
      </c>
      <c r="C11" t="s">
        <v>64</v>
      </c>
      <c r="D11" t="s">
        <v>19</v>
      </c>
      <c r="E11">
        <v>121</v>
      </c>
      <c r="F11" s="20">
        <v>43399</v>
      </c>
      <c r="G11">
        <v>500</v>
      </c>
      <c r="H11">
        <v>2018</v>
      </c>
    </row>
    <row r="12" spans="2:9" x14ac:dyDescent="0.3">
      <c r="B12" t="s">
        <v>166</v>
      </c>
      <c r="C12" t="s">
        <v>69</v>
      </c>
      <c r="D12" t="s">
        <v>19</v>
      </c>
      <c r="E12">
        <v>94</v>
      </c>
      <c r="F12" s="20">
        <v>43285</v>
      </c>
      <c r="G12">
        <v>1000</v>
      </c>
      <c r="H12">
        <v>2018</v>
      </c>
    </row>
    <row r="13" spans="2:9" x14ac:dyDescent="0.3">
      <c r="B13" t="s">
        <v>165</v>
      </c>
      <c r="C13" t="s">
        <v>67</v>
      </c>
      <c r="D13" t="s">
        <v>19</v>
      </c>
      <c r="E13">
        <v>132</v>
      </c>
      <c r="F13" s="20">
        <v>43273</v>
      </c>
      <c r="G13">
        <v>500</v>
      </c>
      <c r="H13">
        <v>2018</v>
      </c>
    </row>
    <row r="14" spans="2:9" x14ac:dyDescent="0.3">
      <c r="B14" t="s">
        <v>158</v>
      </c>
      <c r="C14" t="s">
        <v>54</v>
      </c>
      <c r="D14" t="s">
        <v>19</v>
      </c>
      <c r="E14">
        <v>120</v>
      </c>
      <c r="F14" s="20">
        <v>43259</v>
      </c>
      <c r="G14">
        <v>1000</v>
      </c>
      <c r="H14">
        <v>2018</v>
      </c>
    </row>
    <row r="15" spans="2:9" x14ac:dyDescent="0.3">
      <c r="B15" t="s">
        <v>161</v>
      </c>
      <c r="C15" t="s">
        <v>60</v>
      </c>
      <c r="D15" t="s">
        <v>19</v>
      </c>
      <c r="E15">
        <v>111</v>
      </c>
      <c r="F15" s="20">
        <v>43258</v>
      </c>
      <c r="G15">
        <v>1000</v>
      </c>
      <c r="H15">
        <v>2018</v>
      </c>
    </row>
    <row r="16" spans="2:9" x14ac:dyDescent="0.3">
      <c r="B16" t="s">
        <v>156</v>
      </c>
      <c r="C16" t="s">
        <v>50</v>
      </c>
      <c r="D16" t="s">
        <v>19</v>
      </c>
      <c r="E16">
        <v>116</v>
      </c>
      <c r="F16" s="20">
        <v>43248</v>
      </c>
      <c r="G16">
        <v>1000</v>
      </c>
      <c r="H16">
        <v>2018</v>
      </c>
    </row>
    <row r="17" spans="2:8" x14ac:dyDescent="0.3">
      <c r="B17" t="s">
        <v>138</v>
      </c>
      <c r="C17" t="s">
        <v>201</v>
      </c>
      <c r="D17" t="s">
        <v>10</v>
      </c>
      <c r="E17">
        <v>181</v>
      </c>
      <c r="F17" s="20">
        <v>43762</v>
      </c>
      <c r="G17">
        <v>2000</v>
      </c>
      <c r="H17">
        <v>2019</v>
      </c>
    </row>
    <row r="18" spans="2:8" x14ac:dyDescent="0.3">
      <c r="B18" t="s">
        <v>139</v>
      </c>
      <c r="C18" t="s">
        <v>13</v>
      </c>
      <c r="D18" t="s">
        <v>10</v>
      </c>
      <c r="E18">
        <v>107</v>
      </c>
      <c r="F18" s="20">
        <v>43717</v>
      </c>
      <c r="G18">
        <v>1000</v>
      </c>
      <c r="H18">
        <v>2019</v>
      </c>
    </row>
    <row r="19" spans="2:8" x14ac:dyDescent="0.3">
      <c r="B19" t="s">
        <v>202</v>
      </c>
      <c r="C19" t="s">
        <v>203</v>
      </c>
      <c r="D19" t="s">
        <v>10</v>
      </c>
      <c r="E19">
        <v>110</v>
      </c>
      <c r="F19" s="20">
        <v>43692</v>
      </c>
      <c r="G19">
        <v>1500</v>
      </c>
      <c r="H19">
        <v>2019</v>
      </c>
    </row>
    <row r="20" spans="2:8" x14ac:dyDescent="0.3">
      <c r="B20" t="s">
        <v>141</v>
      </c>
      <c r="C20" t="s">
        <v>204</v>
      </c>
      <c r="D20" t="s">
        <v>10</v>
      </c>
      <c r="E20">
        <v>104</v>
      </c>
      <c r="F20" s="20">
        <v>43686</v>
      </c>
      <c r="G20">
        <v>500</v>
      </c>
      <c r="H20">
        <v>2019</v>
      </c>
    </row>
    <row r="21" spans="2:8" x14ac:dyDescent="0.3">
      <c r="B21" t="s">
        <v>143</v>
      </c>
      <c r="C21" t="s">
        <v>21</v>
      </c>
      <c r="D21" t="s">
        <v>10</v>
      </c>
      <c r="E21">
        <v>123</v>
      </c>
      <c r="F21" s="20">
        <v>43652</v>
      </c>
      <c r="G21">
        <v>1500</v>
      </c>
      <c r="H21">
        <v>2019</v>
      </c>
    </row>
    <row r="22" spans="2:8" x14ac:dyDescent="0.3">
      <c r="B22" t="s">
        <v>149</v>
      </c>
      <c r="C22" t="s">
        <v>34</v>
      </c>
      <c r="D22" t="s">
        <v>10</v>
      </c>
      <c r="E22">
        <v>133</v>
      </c>
      <c r="F22" s="20">
        <v>43585</v>
      </c>
      <c r="G22">
        <v>2000</v>
      </c>
      <c r="H22">
        <v>2019</v>
      </c>
    </row>
    <row r="23" spans="2:8" x14ac:dyDescent="0.3">
      <c r="B23" t="s">
        <v>164</v>
      </c>
      <c r="C23" t="s">
        <v>205</v>
      </c>
      <c r="D23" t="s">
        <v>10</v>
      </c>
      <c r="E23">
        <v>140</v>
      </c>
      <c r="F23" s="20">
        <v>43279</v>
      </c>
      <c r="G23">
        <v>500</v>
      </c>
      <c r="H23">
        <v>2018</v>
      </c>
    </row>
  </sheetData>
  <phoneticPr fontId="2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45"/>
  <sheetViews>
    <sheetView workbookViewId="0">
      <selection activeCell="H1" sqref="H1"/>
    </sheetView>
  </sheetViews>
  <sheetFormatPr defaultRowHeight="16.5" x14ac:dyDescent="0.3"/>
  <cols>
    <col min="2" max="2" width="20" bestFit="1" customWidth="1"/>
    <col min="3" max="3" width="13.25" bestFit="1" customWidth="1"/>
    <col min="5" max="5" width="11" bestFit="1" customWidth="1"/>
  </cols>
  <sheetData>
    <row r="1" spans="1:8" x14ac:dyDescent="0.3">
      <c r="A1" t="s">
        <v>70</v>
      </c>
      <c r="H1" t="s">
        <v>195</v>
      </c>
    </row>
    <row r="2" spans="1:8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21" t="s">
        <v>207</v>
      </c>
    </row>
    <row r="3" spans="1:8" x14ac:dyDescent="0.3">
      <c r="A3" s="1" t="s">
        <v>137</v>
      </c>
      <c r="B3" s="1" t="s">
        <v>167</v>
      </c>
      <c r="C3" s="2">
        <v>43692</v>
      </c>
      <c r="D3" s="3">
        <v>38200</v>
      </c>
      <c r="E3" s="1" t="s">
        <v>10</v>
      </c>
      <c r="F3" s="1">
        <v>110</v>
      </c>
      <c r="G3" s="3">
        <v>1500</v>
      </c>
      <c r="H3" s="19" t="s">
        <v>208</v>
      </c>
    </row>
    <row r="4" spans="1:8" x14ac:dyDescent="0.3">
      <c r="A4" s="1" t="s">
        <v>138</v>
      </c>
      <c r="B4" s="1" t="s">
        <v>168</v>
      </c>
      <c r="C4" s="2">
        <v>43762</v>
      </c>
      <c r="D4" s="3">
        <v>31700</v>
      </c>
      <c r="E4" s="1" t="s">
        <v>10</v>
      </c>
      <c r="F4" s="1">
        <v>181</v>
      </c>
      <c r="G4" s="3">
        <v>2000</v>
      </c>
      <c r="H4" s="19" t="s">
        <v>209</v>
      </c>
    </row>
    <row r="5" spans="1:8" x14ac:dyDescent="0.3">
      <c r="A5" s="1" t="s">
        <v>139</v>
      </c>
      <c r="B5" s="1" t="s">
        <v>13</v>
      </c>
      <c r="C5" s="2">
        <v>43717</v>
      </c>
      <c r="D5" s="3">
        <v>34500</v>
      </c>
      <c r="E5" s="1" t="s">
        <v>10</v>
      </c>
      <c r="F5" s="1">
        <v>107</v>
      </c>
      <c r="G5" s="3">
        <v>1000</v>
      </c>
      <c r="H5" s="19" t="s">
        <v>210</v>
      </c>
    </row>
    <row r="6" spans="1:8" x14ac:dyDescent="0.3">
      <c r="A6" s="1" t="s">
        <v>140</v>
      </c>
      <c r="B6" s="1" t="s">
        <v>15</v>
      </c>
      <c r="C6" s="2">
        <v>43403</v>
      </c>
      <c r="D6" s="3">
        <v>31400</v>
      </c>
      <c r="E6" s="1" t="s">
        <v>10</v>
      </c>
      <c r="F6" s="1">
        <v>128</v>
      </c>
      <c r="G6" s="3">
        <v>500</v>
      </c>
      <c r="H6" s="22" t="s">
        <v>211</v>
      </c>
    </row>
    <row r="7" spans="1:8" x14ac:dyDescent="0.3">
      <c r="A7" s="1" t="s">
        <v>141</v>
      </c>
      <c r="B7" s="1" t="s">
        <v>169</v>
      </c>
      <c r="C7" s="2">
        <v>43686</v>
      </c>
      <c r="D7" s="3">
        <v>33800</v>
      </c>
      <c r="E7" s="1" t="s">
        <v>10</v>
      </c>
      <c r="F7" s="1">
        <v>104</v>
      </c>
      <c r="G7" s="3">
        <v>500</v>
      </c>
      <c r="H7" s="22" t="s">
        <v>213</v>
      </c>
    </row>
    <row r="8" spans="1:8" x14ac:dyDescent="0.3">
      <c r="A8" s="1" t="s">
        <v>142</v>
      </c>
      <c r="B8" s="1" t="s">
        <v>18</v>
      </c>
      <c r="C8" s="2">
        <v>43619</v>
      </c>
      <c r="D8" s="3">
        <v>33800</v>
      </c>
      <c r="E8" s="1" t="s">
        <v>19</v>
      </c>
      <c r="F8" s="1">
        <v>120</v>
      </c>
      <c r="G8" s="3">
        <v>1000</v>
      </c>
      <c r="H8" s="19" t="s">
        <v>214</v>
      </c>
    </row>
    <row r="9" spans="1:8" x14ac:dyDescent="0.3">
      <c r="A9" s="1" t="s">
        <v>143</v>
      </c>
      <c r="B9" s="1" t="s">
        <v>21</v>
      </c>
      <c r="C9" s="2">
        <v>43652</v>
      </c>
      <c r="D9" s="3">
        <v>36800</v>
      </c>
      <c r="E9" s="1" t="s">
        <v>10</v>
      </c>
      <c r="F9" s="1">
        <v>123</v>
      </c>
      <c r="G9" s="3">
        <v>1500</v>
      </c>
      <c r="H9" s="19" t="s">
        <v>215</v>
      </c>
    </row>
    <row r="10" spans="1:8" x14ac:dyDescent="0.3">
      <c r="A10" s="1" t="s">
        <v>144</v>
      </c>
      <c r="B10" s="1" t="s">
        <v>170</v>
      </c>
      <c r="C10" s="2">
        <v>43627</v>
      </c>
      <c r="D10" s="3">
        <v>37900</v>
      </c>
      <c r="E10" s="1" t="s">
        <v>19</v>
      </c>
      <c r="F10" s="1">
        <v>96</v>
      </c>
      <c r="G10" s="3">
        <v>1000</v>
      </c>
    </row>
    <row r="11" spans="1:8" x14ac:dyDescent="0.3">
      <c r="A11" s="1" t="s">
        <v>145</v>
      </c>
      <c r="B11" s="1" t="s">
        <v>24</v>
      </c>
      <c r="C11" s="2">
        <v>43605</v>
      </c>
      <c r="D11" s="3">
        <v>37700</v>
      </c>
      <c r="E11" s="1" t="s">
        <v>25</v>
      </c>
      <c r="F11" s="1">
        <v>115</v>
      </c>
      <c r="G11" s="3">
        <v>1000</v>
      </c>
    </row>
    <row r="12" spans="1:8" x14ac:dyDescent="0.3">
      <c r="A12" s="1" t="s">
        <v>146</v>
      </c>
      <c r="B12" s="1" t="s">
        <v>27</v>
      </c>
      <c r="C12" s="2">
        <v>43707</v>
      </c>
      <c r="D12" s="3">
        <v>37300</v>
      </c>
      <c r="E12" s="1" t="s">
        <v>19</v>
      </c>
      <c r="F12" s="1">
        <v>131</v>
      </c>
      <c r="G12" s="3">
        <v>1000</v>
      </c>
    </row>
    <row r="13" spans="1:8" x14ac:dyDescent="0.3">
      <c r="A13" s="1" t="s">
        <v>147</v>
      </c>
      <c r="B13" s="1" t="s">
        <v>29</v>
      </c>
      <c r="C13" s="2">
        <v>43578</v>
      </c>
      <c r="D13" s="3">
        <v>38900</v>
      </c>
      <c r="E13" s="1" t="s">
        <v>30</v>
      </c>
      <c r="F13" s="1">
        <v>111</v>
      </c>
      <c r="G13" s="3">
        <v>1000</v>
      </c>
    </row>
    <row r="14" spans="1:8" x14ac:dyDescent="0.3">
      <c r="A14" s="1" t="s">
        <v>148</v>
      </c>
      <c r="B14" s="1" t="s">
        <v>32</v>
      </c>
      <c r="C14" s="2">
        <v>43598</v>
      </c>
      <c r="D14" s="3">
        <v>38700</v>
      </c>
      <c r="E14" s="1" t="s">
        <v>19</v>
      </c>
      <c r="F14" s="1">
        <v>129</v>
      </c>
      <c r="G14" s="3">
        <v>1000</v>
      </c>
    </row>
    <row r="15" spans="1:8" x14ac:dyDescent="0.3">
      <c r="A15" s="1" t="s">
        <v>149</v>
      </c>
      <c r="B15" s="1" t="s">
        <v>34</v>
      </c>
      <c r="C15" s="2">
        <v>43585</v>
      </c>
      <c r="D15" s="3">
        <v>35600</v>
      </c>
      <c r="E15" s="1" t="s">
        <v>10</v>
      </c>
      <c r="F15" s="1">
        <v>133</v>
      </c>
      <c r="G15" s="3">
        <v>2000</v>
      </c>
    </row>
    <row r="16" spans="1:8" x14ac:dyDescent="0.3">
      <c r="A16" s="1" t="s">
        <v>150</v>
      </c>
      <c r="B16" s="1" t="s">
        <v>36</v>
      </c>
      <c r="C16" s="2">
        <v>43598</v>
      </c>
      <c r="D16" s="3">
        <v>31200</v>
      </c>
      <c r="E16" s="1" t="s">
        <v>30</v>
      </c>
      <c r="F16" s="1">
        <v>112</v>
      </c>
      <c r="G16" s="3">
        <v>1000</v>
      </c>
    </row>
    <row r="17" spans="1:7" x14ac:dyDescent="0.3">
      <c r="A17" s="1" t="s">
        <v>151</v>
      </c>
      <c r="B17" s="1" t="s">
        <v>38</v>
      </c>
      <c r="C17" s="2">
        <v>43121</v>
      </c>
      <c r="D17" s="3">
        <v>35400</v>
      </c>
      <c r="E17" s="1" t="s">
        <v>39</v>
      </c>
      <c r="F17" s="1">
        <v>178</v>
      </c>
      <c r="G17" s="3">
        <v>1000</v>
      </c>
    </row>
    <row r="18" spans="1:7" x14ac:dyDescent="0.3">
      <c r="A18" s="1" t="s">
        <v>152</v>
      </c>
      <c r="B18" s="1" t="s">
        <v>41</v>
      </c>
      <c r="C18" s="2">
        <v>43590</v>
      </c>
      <c r="D18" s="3">
        <v>36700</v>
      </c>
      <c r="E18" s="1" t="s">
        <v>10</v>
      </c>
      <c r="F18" s="1">
        <v>122</v>
      </c>
      <c r="G18" s="3">
        <v>1500</v>
      </c>
    </row>
    <row r="19" spans="1:7" x14ac:dyDescent="0.3">
      <c r="A19" s="1" t="s">
        <v>153</v>
      </c>
      <c r="B19" s="1" t="s">
        <v>43</v>
      </c>
      <c r="C19" s="2">
        <v>43605</v>
      </c>
      <c r="D19" s="3">
        <v>31700</v>
      </c>
      <c r="E19" s="1" t="s">
        <v>44</v>
      </c>
      <c r="F19" s="1">
        <v>122</v>
      </c>
      <c r="G19" s="3">
        <v>1500</v>
      </c>
    </row>
    <row r="20" spans="1:7" x14ac:dyDescent="0.3">
      <c r="A20" s="1" t="s">
        <v>154</v>
      </c>
      <c r="B20" s="1" t="s">
        <v>171</v>
      </c>
      <c r="C20" s="2">
        <v>43179</v>
      </c>
      <c r="D20" s="3">
        <v>35600</v>
      </c>
      <c r="E20" s="1" t="s">
        <v>19</v>
      </c>
      <c r="F20" s="1">
        <v>139</v>
      </c>
      <c r="G20" s="3">
        <v>1000</v>
      </c>
    </row>
    <row r="21" spans="1:7" x14ac:dyDescent="0.3">
      <c r="A21" s="1" t="s">
        <v>155</v>
      </c>
      <c r="B21" s="1" t="s">
        <v>47</v>
      </c>
      <c r="C21" s="2">
        <v>43585</v>
      </c>
      <c r="D21" s="3">
        <v>36500</v>
      </c>
      <c r="E21" s="1" t="s">
        <v>48</v>
      </c>
      <c r="F21" s="1">
        <v>78</v>
      </c>
      <c r="G21" s="3">
        <v>500</v>
      </c>
    </row>
    <row r="22" spans="1:7" x14ac:dyDescent="0.3">
      <c r="A22" s="1" t="s">
        <v>156</v>
      </c>
      <c r="B22" s="1" t="s">
        <v>50</v>
      </c>
      <c r="C22" s="2">
        <v>43248</v>
      </c>
      <c r="D22" s="3">
        <v>31200</v>
      </c>
      <c r="E22" s="1" t="s">
        <v>19</v>
      </c>
      <c r="F22" s="1">
        <v>116</v>
      </c>
      <c r="G22" s="3">
        <v>1000</v>
      </c>
    </row>
    <row r="23" spans="1:7" x14ac:dyDescent="0.3">
      <c r="A23" s="1" t="s">
        <v>157</v>
      </c>
      <c r="B23" s="1" t="s">
        <v>52</v>
      </c>
      <c r="C23" s="2">
        <v>43493</v>
      </c>
      <c r="D23" s="3">
        <v>30100</v>
      </c>
      <c r="E23" s="1" t="s">
        <v>19</v>
      </c>
      <c r="F23" s="1">
        <v>114</v>
      </c>
      <c r="G23" s="3">
        <v>1500</v>
      </c>
    </row>
    <row r="24" spans="1:7" x14ac:dyDescent="0.3">
      <c r="A24" s="1" t="s">
        <v>158</v>
      </c>
      <c r="B24" s="1" t="s">
        <v>54</v>
      </c>
      <c r="C24" s="2">
        <v>43259</v>
      </c>
      <c r="D24" s="3">
        <v>36800</v>
      </c>
      <c r="E24" s="1" t="s">
        <v>19</v>
      </c>
      <c r="F24" s="1">
        <v>120</v>
      </c>
      <c r="G24" s="3">
        <v>1000</v>
      </c>
    </row>
    <row r="25" spans="1:7" x14ac:dyDescent="0.3">
      <c r="A25" s="1" t="s">
        <v>159</v>
      </c>
      <c r="B25" s="1" t="s">
        <v>56</v>
      </c>
      <c r="C25" s="2">
        <v>43201</v>
      </c>
      <c r="D25" s="3">
        <v>33200</v>
      </c>
      <c r="E25" s="1" t="s">
        <v>48</v>
      </c>
      <c r="F25" s="1">
        <v>127</v>
      </c>
      <c r="G25" s="3">
        <v>500</v>
      </c>
    </row>
    <row r="26" spans="1:7" x14ac:dyDescent="0.3">
      <c r="A26" s="1" t="s">
        <v>160</v>
      </c>
      <c r="B26" s="1" t="s">
        <v>58</v>
      </c>
      <c r="C26" s="2">
        <v>43176</v>
      </c>
      <c r="D26" s="3">
        <v>33700</v>
      </c>
      <c r="E26" s="1" t="s">
        <v>19</v>
      </c>
      <c r="F26" s="1">
        <v>126</v>
      </c>
      <c r="G26" s="3">
        <v>500</v>
      </c>
    </row>
    <row r="27" spans="1:7" x14ac:dyDescent="0.3">
      <c r="A27" s="1" t="s">
        <v>161</v>
      </c>
      <c r="B27" s="1" t="s">
        <v>60</v>
      </c>
      <c r="C27" s="2">
        <v>43258</v>
      </c>
      <c r="D27" s="3">
        <v>31200</v>
      </c>
      <c r="E27" s="1" t="s">
        <v>19</v>
      </c>
      <c r="F27" s="1">
        <v>111</v>
      </c>
      <c r="G27" s="3">
        <v>1000</v>
      </c>
    </row>
    <row r="28" spans="1:7" x14ac:dyDescent="0.3">
      <c r="A28" s="1" t="s">
        <v>162</v>
      </c>
      <c r="B28" s="1" t="s">
        <v>62</v>
      </c>
      <c r="C28" s="2">
        <v>43483</v>
      </c>
      <c r="D28" s="3">
        <v>37800</v>
      </c>
      <c r="E28" s="1" t="s">
        <v>19</v>
      </c>
      <c r="F28" s="1">
        <v>141</v>
      </c>
      <c r="G28" s="3">
        <v>1000</v>
      </c>
    </row>
    <row r="29" spans="1:7" x14ac:dyDescent="0.3">
      <c r="A29" s="1" t="s">
        <v>163</v>
      </c>
      <c r="B29" s="1" t="s">
        <v>64</v>
      </c>
      <c r="C29" s="2">
        <v>43399</v>
      </c>
      <c r="D29" s="3">
        <v>36900</v>
      </c>
      <c r="E29" s="1" t="s">
        <v>19</v>
      </c>
      <c r="F29" s="1">
        <v>121</v>
      </c>
      <c r="G29" s="3">
        <v>500</v>
      </c>
    </row>
    <row r="30" spans="1:7" x14ac:dyDescent="0.3">
      <c r="A30" s="1" t="s">
        <v>164</v>
      </c>
      <c r="B30" s="1" t="s">
        <v>172</v>
      </c>
      <c r="C30" s="2">
        <v>43279</v>
      </c>
      <c r="D30" s="3">
        <v>36500</v>
      </c>
      <c r="E30" s="1" t="s">
        <v>10</v>
      </c>
      <c r="F30" s="1">
        <v>140</v>
      </c>
      <c r="G30" s="3">
        <v>500</v>
      </c>
    </row>
    <row r="31" spans="1:7" x14ac:dyDescent="0.3">
      <c r="A31" s="1" t="s">
        <v>165</v>
      </c>
      <c r="B31" s="1" t="s">
        <v>67</v>
      </c>
      <c r="C31" s="2">
        <v>43273</v>
      </c>
      <c r="D31" s="3">
        <v>39700</v>
      </c>
      <c r="E31" s="1" t="s">
        <v>19</v>
      </c>
      <c r="F31" s="1">
        <v>132</v>
      </c>
      <c r="G31" s="3">
        <v>500</v>
      </c>
    </row>
    <row r="32" spans="1:7" x14ac:dyDescent="0.3">
      <c r="A32" s="1" t="s">
        <v>166</v>
      </c>
      <c r="B32" s="1" t="s">
        <v>69</v>
      </c>
      <c r="C32" s="2">
        <v>43285</v>
      </c>
      <c r="D32" s="3">
        <v>34400</v>
      </c>
      <c r="E32" s="1" t="s">
        <v>19</v>
      </c>
      <c r="F32" s="1">
        <v>94</v>
      </c>
      <c r="G32" s="3">
        <v>1000</v>
      </c>
    </row>
    <row r="34" spans="1:7" x14ac:dyDescent="0.3">
      <c r="A34" s="23" t="s">
        <v>212</v>
      </c>
    </row>
    <row r="35" spans="1:7" x14ac:dyDescent="0.3">
      <c r="A35" t="b">
        <f>AND(MID(A3,5,1)="1", F3&gt;=100,F3&lt;150)</f>
        <v>0</v>
      </c>
    </row>
    <row r="37" spans="1:7" x14ac:dyDescent="0.3">
      <c r="A37" s="1" t="s">
        <v>0</v>
      </c>
      <c r="B37" s="1" t="s">
        <v>1</v>
      </c>
      <c r="C37" s="1" t="s">
        <v>2</v>
      </c>
      <c r="D37" s="1" t="s">
        <v>3</v>
      </c>
      <c r="E37" s="1" t="s">
        <v>4</v>
      </c>
      <c r="F37" s="1" t="s">
        <v>5</v>
      </c>
      <c r="G37" s="1" t="s">
        <v>6</v>
      </c>
    </row>
    <row r="38" spans="1:7" x14ac:dyDescent="0.3">
      <c r="A38" s="1" t="s">
        <v>146</v>
      </c>
      <c r="B38" s="1" t="s">
        <v>27</v>
      </c>
      <c r="C38" s="2">
        <v>43707</v>
      </c>
      <c r="D38" s="3">
        <v>37300</v>
      </c>
      <c r="E38" s="1" t="s">
        <v>19</v>
      </c>
      <c r="F38" s="1">
        <v>131</v>
      </c>
      <c r="G38" s="3">
        <v>1000</v>
      </c>
    </row>
    <row r="39" spans="1:7" x14ac:dyDescent="0.3">
      <c r="A39" s="1" t="s">
        <v>147</v>
      </c>
      <c r="B39" s="1" t="s">
        <v>29</v>
      </c>
      <c r="C39" s="2">
        <v>43578</v>
      </c>
      <c r="D39" s="3">
        <v>38900</v>
      </c>
      <c r="E39" s="1" t="s">
        <v>30</v>
      </c>
      <c r="F39" s="1">
        <v>111</v>
      </c>
      <c r="G39" s="3">
        <v>1000</v>
      </c>
    </row>
    <row r="40" spans="1:7" x14ac:dyDescent="0.3">
      <c r="A40" s="1" t="s">
        <v>148</v>
      </c>
      <c r="B40" s="1" t="s">
        <v>32</v>
      </c>
      <c r="C40" s="2">
        <v>43598</v>
      </c>
      <c r="D40" s="3">
        <v>38700</v>
      </c>
      <c r="E40" s="1" t="s">
        <v>19</v>
      </c>
      <c r="F40" s="1">
        <v>129</v>
      </c>
      <c r="G40" s="3">
        <v>1000</v>
      </c>
    </row>
    <row r="41" spans="1:7" x14ac:dyDescent="0.3">
      <c r="A41" s="1" t="s">
        <v>149</v>
      </c>
      <c r="B41" s="1" t="s">
        <v>34</v>
      </c>
      <c r="C41" s="2">
        <v>43585</v>
      </c>
      <c r="D41" s="3">
        <v>35600</v>
      </c>
      <c r="E41" s="1" t="s">
        <v>10</v>
      </c>
      <c r="F41" s="1">
        <v>133</v>
      </c>
      <c r="G41" s="3">
        <v>2000</v>
      </c>
    </row>
    <row r="42" spans="1:7" x14ac:dyDescent="0.3">
      <c r="A42" s="1" t="s">
        <v>150</v>
      </c>
      <c r="B42" s="1" t="s">
        <v>36</v>
      </c>
      <c r="C42" s="2">
        <v>43598</v>
      </c>
      <c r="D42" s="3">
        <v>31200</v>
      </c>
      <c r="E42" s="1" t="s">
        <v>30</v>
      </c>
      <c r="F42" s="1">
        <v>112</v>
      </c>
      <c r="G42" s="3">
        <v>1000</v>
      </c>
    </row>
    <row r="43" spans="1:7" x14ac:dyDescent="0.3">
      <c r="A43" s="1" t="s">
        <v>152</v>
      </c>
      <c r="B43" s="1" t="s">
        <v>41</v>
      </c>
      <c r="C43" s="2">
        <v>43590</v>
      </c>
      <c r="D43" s="3">
        <v>36700</v>
      </c>
      <c r="E43" s="1" t="s">
        <v>10</v>
      </c>
      <c r="F43" s="1">
        <v>122</v>
      </c>
      <c r="G43" s="3">
        <v>1500</v>
      </c>
    </row>
    <row r="44" spans="1:7" x14ac:dyDescent="0.3">
      <c r="A44" s="1" t="s">
        <v>153</v>
      </c>
      <c r="B44" s="1" t="s">
        <v>43</v>
      </c>
      <c r="C44" s="2">
        <v>43605</v>
      </c>
      <c r="D44" s="3">
        <v>31700</v>
      </c>
      <c r="E44" s="1" t="s">
        <v>44</v>
      </c>
      <c r="F44" s="1">
        <v>122</v>
      </c>
      <c r="G44" s="3">
        <v>1500</v>
      </c>
    </row>
    <row r="45" spans="1:7" x14ac:dyDescent="0.3">
      <c r="A45" s="1" t="s">
        <v>154</v>
      </c>
      <c r="B45" s="1" t="s">
        <v>171</v>
      </c>
      <c r="C45" s="2">
        <v>43179</v>
      </c>
      <c r="D45" s="3">
        <v>35600</v>
      </c>
      <c r="E45" s="1" t="s">
        <v>19</v>
      </c>
      <c r="F45" s="1">
        <v>139</v>
      </c>
      <c r="G45" s="3">
        <v>1000</v>
      </c>
    </row>
  </sheetData>
  <phoneticPr fontId="2" type="noConversion"/>
  <conditionalFormatting sqref="A3:G32">
    <cfRule type="expression" dxfId="0" priority="1">
      <formula>AND(OR(MONTH($C3)=6, MONTH($C3)=7),$D3&gt;=25000 )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0"/>
  <sheetViews>
    <sheetView workbookViewId="0">
      <selection activeCell="C9" sqref="C9"/>
    </sheetView>
  </sheetViews>
  <sheetFormatPr defaultRowHeight="16.5" x14ac:dyDescent="0.3"/>
  <cols>
    <col min="2" max="2" width="13" bestFit="1" customWidth="1"/>
  </cols>
  <sheetData>
    <row r="1" spans="1:9" x14ac:dyDescent="0.3">
      <c r="A1" t="s">
        <v>71</v>
      </c>
      <c r="I1" t="s">
        <v>195</v>
      </c>
    </row>
    <row r="2" spans="1:9" x14ac:dyDescent="0.3">
      <c r="A2" s="4" t="s">
        <v>73</v>
      </c>
      <c r="B2" s="4" t="s">
        <v>74</v>
      </c>
      <c r="C2" s="4" t="s">
        <v>75</v>
      </c>
      <c r="D2" s="4" t="s">
        <v>76</v>
      </c>
      <c r="E2" s="4" t="s">
        <v>77</v>
      </c>
      <c r="F2" s="4" t="s">
        <v>78</v>
      </c>
      <c r="G2" s="10" t="s">
        <v>79</v>
      </c>
      <c r="I2" s="24" t="s">
        <v>216</v>
      </c>
    </row>
    <row r="3" spans="1:9" x14ac:dyDescent="0.3">
      <c r="A3" s="4" t="s">
        <v>173</v>
      </c>
      <c r="B3" s="6" t="s">
        <v>82</v>
      </c>
      <c r="C3" s="6">
        <v>13</v>
      </c>
      <c r="D3" s="6">
        <v>11</v>
      </c>
      <c r="E3" s="6">
        <v>23</v>
      </c>
      <c r="F3" s="6">
        <v>30</v>
      </c>
      <c r="G3" s="25">
        <f t="shared" ref="G3:G10" si="0">SUM(C3:F3)</f>
        <v>77</v>
      </c>
      <c r="I3" s="19" t="s">
        <v>217</v>
      </c>
    </row>
    <row r="4" spans="1:9" x14ac:dyDescent="0.3">
      <c r="A4" s="4" t="s">
        <v>174</v>
      </c>
      <c r="B4" s="6" t="s">
        <v>82</v>
      </c>
      <c r="C4" s="6">
        <v>19</v>
      </c>
      <c r="D4" s="6">
        <v>10</v>
      </c>
      <c r="E4" s="6">
        <v>16</v>
      </c>
      <c r="F4" s="6">
        <v>26</v>
      </c>
      <c r="G4" s="25">
        <f t="shared" si="0"/>
        <v>71</v>
      </c>
      <c r="I4" s="19" t="s">
        <v>218</v>
      </c>
    </row>
    <row r="5" spans="1:9" x14ac:dyDescent="0.3">
      <c r="A5" s="4" t="s">
        <v>175</v>
      </c>
      <c r="B5" s="6" t="s">
        <v>82</v>
      </c>
      <c r="C5" s="6">
        <v>14</v>
      </c>
      <c r="D5" s="6">
        <v>11</v>
      </c>
      <c r="E5" s="6">
        <v>15</v>
      </c>
      <c r="F5" s="6">
        <v>25</v>
      </c>
      <c r="G5" s="25">
        <f t="shared" si="0"/>
        <v>65</v>
      </c>
      <c r="I5" s="19" t="s">
        <v>219</v>
      </c>
    </row>
    <row r="6" spans="1:9" x14ac:dyDescent="0.3">
      <c r="A6" s="4" t="s">
        <v>176</v>
      </c>
      <c r="B6" s="6" t="s">
        <v>82</v>
      </c>
      <c r="C6" s="6">
        <v>20</v>
      </c>
      <c r="D6" s="6">
        <v>15</v>
      </c>
      <c r="E6" s="6">
        <v>21</v>
      </c>
      <c r="F6" s="6">
        <v>15</v>
      </c>
      <c r="G6" s="25">
        <f t="shared" si="0"/>
        <v>71</v>
      </c>
    </row>
    <row r="7" spans="1:9" x14ac:dyDescent="0.3">
      <c r="A7" s="4" t="s">
        <v>177</v>
      </c>
      <c r="B7" s="6" t="s">
        <v>84</v>
      </c>
      <c r="C7" s="6">
        <v>10</v>
      </c>
      <c r="D7" s="6">
        <v>15</v>
      </c>
      <c r="E7" s="6">
        <v>22</v>
      </c>
      <c r="F7" s="6">
        <v>27</v>
      </c>
      <c r="G7" s="25">
        <f t="shared" si="0"/>
        <v>74</v>
      </c>
    </row>
    <row r="8" spans="1:9" x14ac:dyDescent="0.3">
      <c r="A8" s="4" t="s">
        <v>178</v>
      </c>
      <c r="B8" s="6" t="s">
        <v>84</v>
      </c>
      <c r="C8" s="6">
        <v>14</v>
      </c>
      <c r="D8" s="6">
        <v>12</v>
      </c>
      <c r="E8" s="6">
        <v>27</v>
      </c>
      <c r="F8" s="6">
        <v>28</v>
      </c>
      <c r="G8" s="25">
        <f t="shared" si="0"/>
        <v>81</v>
      </c>
    </row>
    <row r="9" spans="1:9" x14ac:dyDescent="0.3">
      <c r="A9" s="4" t="s">
        <v>179</v>
      </c>
      <c r="B9" s="6" t="s">
        <v>82</v>
      </c>
      <c r="C9" s="6">
        <v>16</v>
      </c>
      <c r="D9" s="6">
        <v>19</v>
      </c>
      <c r="E9" s="6">
        <v>15</v>
      </c>
      <c r="F9" s="6">
        <v>23</v>
      </c>
      <c r="G9" s="25">
        <f t="shared" si="0"/>
        <v>73</v>
      </c>
    </row>
    <row r="10" spans="1:9" x14ac:dyDescent="0.3">
      <c r="A10" s="4" t="s">
        <v>180</v>
      </c>
      <c r="B10" s="6" t="s">
        <v>82</v>
      </c>
      <c r="C10" s="6">
        <v>18</v>
      </c>
      <c r="D10" s="6">
        <v>13</v>
      </c>
      <c r="E10" s="6">
        <v>16</v>
      </c>
      <c r="F10" s="6">
        <v>23</v>
      </c>
      <c r="G10" s="25">
        <f t="shared" si="0"/>
        <v>70</v>
      </c>
    </row>
  </sheetData>
  <sheetProtection sheet="1" objects="1" scenarios="1" sort="0"/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42"/>
  <sheetViews>
    <sheetView tabSelected="1" topLeftCell="B1" workbookViewId="0">
      <selection activeCell="J5" sqref="J5"/>
    </sheetView>
  </sheetViews>
  <sheetFormatPr defaultRowHeight="16.5" x14ac:dyDescent="0.3"/>
  <cols>
    <col min="1" max="1" width="10.375" bestFit="1" customWidth="1"/>
    <col min="2" max="3" width="13" bestFit="1" customWidth="1"/>
    <col min="9" max="9" width="16.5" bestFit="1" customWidth="1"/>
  </cols>
  <sheetData>
    <row r="1" spans="1:12" x14ac:dyDescent="0.3">
      <c r="A1" t="s">
        <v>71</v>
      </c>
      <c r="L1" t="s">
        <v>220</v>
      </c>
    </row>
    <row r="2" spans="1:12" x14ac:dyDescent="0.3">
      <c r="A2" s="4" t="s">
        <v>72</v>
      </c>
      <c r="B2" s="4" t="s">
        <v>73</v>
      </c>
      <c r="C2" s="4" t="s">
        <v>74</v>
      </c>
      <c r="D2" s="4" t="s">
        <v>75</v>
      </c>
      <c r="E2" s="4" t="s">
        <v>76</v>
      </c>
      <c r="F2" s="4" t="s">
        <v>77</v>
      </c>
      <c r="G2" s="4" t="s">
        <v>78</v>
      </c>
      <c r="H2" s="5" t="s">
        <v>79</v>
      </c>
      <c r="I2" s="5" t="s">
        <v>80</v>
      </c>
      <c r="J2" s="5" t="s">
        <v>81</v>
      </c>
      <c r="L2" s="27" t="s">
        <v>221</v>
      </c>
    </row>
    <row r="3" spans="1:12" x14ac:dyDescent="0.3">
      <c r="A3" s="4" t="s">
        <v>128</v>
      </c>
      <c r="B3" s="17" t="s">
        <v>173</v>
      </c>
      <c r="C3" s="6" t="s">
        <v>82</v>
      </c>
      <c r="D3" s="6">
        <v>13</v>
      </c>
      <c r="E3" s="6">
        <v>11</v>
      </c>
      <c r="F3" s="6">
        <v>23</v>
      </c>
      <c r="G3" s="6">
        <v>30</v>
      </c>
      <c r="H3" s="6">
        <f>bs총점(D3,E3,F3,G3)</f>
        <v>77</v>
      </c>
      <c r="I3" s="7" t="str">
        <f>HLOOKUP(LEFT(A3,1),$B$26:$D$27,2,FALSE)&amp;"("&amp;HLOOKUP(VALUE(RIGHT(A3,1)),$F$26:$H$27,2,TRUE)&amp;")"</f>
        <v>교양(한국어)</v>
      </c>
      <c r="J3" s="4" t="str">
        <f>INDEX($A$37:$B$42,MATCH(F3+G3,$A$37:$A$42,-1),2)</f>
        <v>A</v>
      </c>
      <c r="L3" s="19" t="s">
        <v>222</v>
      </c>
    </row>
    <row r="4" spans="1:12" x14ac:dyDescent="0.3">
      <c r="A4" s="4" t="s">
        <v>83</v>
      </c>
      <c r="B4" s="17" t="s">
        <v>174</v>
      </c>
      <c r="C4" s="6" t="s">
        <v>82</v>
      </c>
      <c r="D4" s="6">
        <v>19</v>
      </c>
      <c r="E4" s="6">
        <v>10</v>
      </c>
      <c r="F4" s="6">
        <v>16</v>
      </c>
      <c r="G4" s="6">
        <v>26</v>
      </c>
      <c r="H4" s="6">
        <f t="shared" ref="H4:H25" si="0">bs총점(D4,E4,F4,G4)</f>
        <v>71</v>
      </c>
      <c r="I4" s="7" t="str">
        <f t="shared" ref="I4:I23" si="1">HLOOKUP(LEFT(A4,1),$B$26:$D$27,2,FALSE)&amp;"("&amp;HLOOKUP(VALUE(RIGHT(A4,1)),$F$26:$H$27,2,TRUE)&amp;")"</f>
        <v>전공선택(영어)</v>
      </c>
      <c r="J4" s="17" t="str">
        <f t="shared" ref="J4:J23" si="2">INDEX($A$37:$B$42,MATCH(F4+G4,$A$37:$A$42,-1),2)</f>
        <v>B</v>
      </c>
      <c r="L4" s="19" t="s">
        <v>223</v>
      </c>
    </row>
    <row r="5" spans="1:12" x14ac:dyDescent="0.3">
      <c r="A5" s="4" t="s">
        <v>129</v>
      </c>
      <c r="B5" s="17" t="s">
        <v>175</v>
      </c>
      <c r="C5" s="6" t="s">
        <v>82</v>
      </c>
      <c r="D5" s="6">
        <v>14</v>
      </c>
      <c r="E5" s="6">
        <v>11</v>
      </c>
      <c r="F5" s="6">
        <v>15</v>
      </c>
      <c r="G5" s="6">
        <v>25</v>
      </c>
      <c r="H5" s="6">
        <f t="shared" si="0"/>
        <v>65</v>
      </c>
      <c r="I5" s="7" t="str">
        <f t="shared" si="1"/>
        <v>교양(한국어)</v>
      </c>
      <c r="J5" s="17" t="str">
        <f t="shared" si="2"/>
        <v>C</v>
      </c>
    </row>
    <row r="6" spans="1:12" x14ac:dyDescent="0.3">
      <c r="A6" s="4" t="s">
        <v>130</v>
      </c>
      <c r="B6" s="17" t="s">
        <v>176</v>
      </c>
      <c r="C6" s="6" t="s">
        <v>82</v>
      </c>
      <c r="D6" s="6">
        <v>20</v>
      </c>
      <c r="E6" s="6">
        <v>15</v>
      </c>
      <c r="F6" s="6">
        <v>21</v>
      </c>
      <c r="G6" s="6">
        <v>15</v>
      </c>
      <c r="H6" s="6">
        <f t="shared" si="0"/>
        <v>71</v>
      </c>
      <c r="I6" s="7" t="str">
        <f t="shared" si="1"/>
        <v>교양(기타)</v>
      </c>
      <c r="J6" s="17" t="str">
        <f t="shared" si="2"/>
        <v>C</v>
      </c>
      <c r="L6" t="s">
        <v>224</v>
      </c>
    </row>
    <row r="7" spans="1:12" x14ac:dyDescent="0.3">
      <c r="A7" s="4" t="s">
        <v>131</v>
      </c>
      <c r="B7" s="17" t="s">
        <v>177</v>
      </c>
      <c r="C7" s="6" t="s">
        <v>84</v>
      </c>
      <c r="D7" s="6">
        <v>10</v>
      </c>
      <c r="E7" s="6">
        <v>15</v>
      </c>
      <c r="F7" s="6">
        <v>22</v>
      </c>
      <c r="G7" s="6">
        <v>27</v>
      </c>
      <c r="H7" s="6">
        <f t="shared" si="0"/>
        <v>74</v>
      </c>
      <c r="I7" s="7" t="str">
        <f t="shared" si="1"/>
        <v>교양(기타)</v>
      </c>
      <c r="J7" s="17" t="str">
        <f t="shared" si="2"/>
        <v>B</v>
      </c>
      <c r="L7" s="19" t="s">
        <v>225</v>
      </c>
    </row>
    <row r="8" spans="1:12" x14ac:dyDescent="0.3">
      <c r="A8" s="4" t="s">
        <v>85</v>
      </c>
      <c r="B8" s="17" t="s">
        <v>178</v>
      </c>
      <c r="C8" s="6" t="s">
        <v>84</v>
      </c>
      <c r="D8" s="6">
        <v>14</v>
      </c>
      <c r="E8" s="6">
        <v>12</v>
      </c>
      <c r="F8" s="6">
        <v>27</v>
      </c>
      <c r="G8" s="6">
        <v>28</v>
      </c>
      <c r="H8" s="6">
        <f t="shared" si="0"/>
        <v>81</v>
      </c>
      <c r="I8" s="7" t="str">
        <f t="shared" si="1"/>
        <v>전공필수(한국어)</v>
      </c>
      <c r="J8" s="17" t="str">
        <f t="shared" si="2"/>
        <v>A</v>
      </c>
      <c r="L8" s="19" t="s">
        <v>226</v>
      </c>
    </row>
    <row r="9" spans="1:12" x14ac:dyDescent="0.3">
      <c r="A9" s="4" t="s">
        <v>86</v>
      </c>
      <c r="B9" s="17" t="s">
        <v>179</v>
      </c>
      <c r="C9" s="6" t="s">
        <v>82</v>
      </c>
      <c r="D9" s="6">
        <v>16</v>
      </c>
      <c r="E9" s="6">
        <v>19</v>
      </c>
      <c r="F9" s="6">
        <v>15</v>
      </c>
      <c r="G9" s="6">
        <v>23</v>
      </c>
      <c r="H9" s="6">
        <f t="shared" si="0"/>
        <v>73</v>
      </c>
      <c r="I9" s="7" t="str">
        <f t="shared" si="1"/>
        <v>전공선택(한국어)</v>
      </c>
      <c r="J9" s="17" t="str">
        <f t="shared" si="2"/>
        <v>C</v>
      </c>
      <c r="L9" s="19" t="s">
        <v>227</v>
      </c>
    </row>
    <row r="10" spans="1:12" x14ac:dyDescent="0.3">
      <c r="A10" s="4" t="s">
        <v>87</v>
      </c>
      <c r="B10" s="17" t="s">
        <v>180</v>
      </c>
      <c r="C10" s="6" t="s">
        <v>82</v>
      </c>
      <c r="D10" s="6">
        <v>18</v>
      </c>
      <c r="E10" s="6">
        <v>13</v>
      </c>
      <c r="F10" s="6">
        <v>16</v>
      </c>
      <c r="G10" s="6">
        <v>23</v>
      </c>
      <c r="H10" s="6">
        <f t="shared" si="0"/>
        <v>70</v>
      </c>
      <c r="I10" s="7" t="str">
        <f t="shared" si="1"/>
        <v>전공필수(영어)</v>
      </c>
      <c r="J10" s="17" t="str">
        <f t="shared" si="2"/>
        <v>C</v>
      </c>
      <c r="L10" s="19" t="s">
        <v>228</v>
      </c>
    </row>
    <row r="11" spans="1:12" x14ac:dyDescent="0.3">
      <c r="A11" s="4" t="s">
        <v>88</v>
      </c>
      <c r="B11" s="4" t="s">
        <v>181</v>
      </c>
      <c r="C11" s="6" t="s">
        <v>82</v>
      </c>
      <c r="D11" s="6">
        <v>18</v>
      </c>
      <c r="E11" s="6">
        <v>20</v>
      </c>
      <c r="F11" s="6">
        <v>17</v>
      </c>
      <c r="G11" s="6">
        <v>15</v>
      </c>
      <c r="H11" s="6">
        <f t="shared" si="0"/>
        <v>70</v>
      </c>
      <c r="I11" s="7" t="str">
        <f t="shared" si="1"/>
        <v>전공선택(한국어)</v>
      </c>
      <c r="J11" s="17" t="str">
        <f t="shared" si="2"/>
        <v>C</v>
      </c>
      <c r="L11" t="s">
        <v>229</v>
      </c>
    </row>
    <row r="12" spans="1:12" x14ac:dyDescent="0.3">
      <c r="A12" s="4" t="s">
        <v>89</v>
      </c>
      <c r="B12" s="4" t="s">
        <v>182</v>
      </c>
      <c r="C12" s="6" t="s">
        <v>84</v>
      </c>
      <c r="D12" s="6">
        <v>17</v>
      </c>
      <c r="E12" s="6">
        <v>18</v>
      </c>
      <c r="F12" s="6">
        <v>19</v>
      </c>
      <c r="G12" s="6">
        <v>30</v>
      </c>
      <c r="H12" s="6">
        <f t="shared" si="0"/>
        <v>84</v>
      </c>
      <c r="I12" s="7" t="str">
        <f t="shared" si="1"/>
        <v>전공필수(한국어)</v>
      </c>
      <c r="J12" s="17" t="str">
        <f t="shared" si="2"/>
        <v>B</v>
      </c>
      <c r="L12" t="s">
        <v>230</v>
      </c>
    </row>
    <row r="13" spans="1:12" x14ac:dyDescent="0.3">
      <c r="A13" s="4" t="s">
        <v>90</v>
      </c>
      <c r="B13" s="4" t="s">
        <v>183</v>
      </c>
      <c r="C13" s="6" t="s">
        <v>84</v>
      </c>
      <c r="D13" s="6">
        <v>15</v>
      </c>
      <c r="E13" s="6">
        <v>12</v>
      </c>
      <c r="F13" s="6">
        <v>17</v>
      </c>
      <c r="G13" s="6">
        <v>24</v>
      </c>
      <c r="H13" s="6">
        <f t="shared" si="0"/>
        <v>68</v>
      </c>
      <c r="I13" s="7" t="str">
        <f t="shared" si="1"/>
        <v>전공필수(기타)</v>
      </c>
      <c r="J13" s="17" t="str">
        <f t="shared" si="2"/>
        <v>B</v>
      </c>
    </row>
    <row r="14" spans="1:12" x14ac:dyDescent="0.3">
      <c r="A14" s="4" t="s">
        <v>130</v>
      </c>
      <c r="B14" s="4" t="s">
        <v>184</v>
      </c>
      <c r="C14" s="6" t="s">
        <v>84</v>
      </c>
      <c r="D14" s="6">
        <v>20</v>
      </c>
      <c r="E14" s="6">
        <v>15</v>
      </c>
      <c r="F14" s="6">
        <v>25</v>
      </c>
      <c r="G14" s="6">
        <v>27</v>
      </c>
      <c r="H14" s="6">
        <f t="shared" si="0"/>
        <v>87</v>
      </c>
      <c r="I14" s="7" t="str">
        <f t="shared" si="1"/>
        <v>교양(기타)</v>
      </c>
      <c r="J14" s="17" t="str">
        <f t="shared" si="2"/>
        <v>A</v>
      </c>
      <c r="L14" t="s">
        <v>231</v>
      </c>
    </row>
    <row r="15" spans="1:12" x14ac:dyDescent="0.3">
      <c r="A15" s="4" t="s">
        <v>86</v>
      </c>
      <c r="B15" s="4" t="s">
        <v>185</v>
      </c>
      <c r="C15" s="6" t="s">
        <v>84</v>
      </c>
      <c r="D15" s="6">
        <v>12</v>
      </c>
      <c r="E15" s="6">
        <v>15</v>
      </c>
      <c r="F15" s="6">
        <v>26</v>
      </c>
      <c r="G15" s="6">
        <v>15</v>
      </c>
      <c r="H15" s="6">
        <f t="shared" si="0"/>
        <v>68</v>
      </c>
      <c r="I15" s="7" t="str">
        <f t="shared" si="1"/>
        <v>전공선택(한국어)</v>
      </c>
      <c r="J15" s="17" t="str">
        <f t="shared" si="2"/>
        <v>B</v>
      </c>
      <c r="L15" s="19" t="s">
        <v>222</v>
      </c>
    </row>
    <row r="16" spans="1:12" x14ac:dyDescent="0.3">
      <c r="A16" s="4" t="s">
        <v>128</v>
      </c>
      <c r="B16" s="4" t="s">
        <v>186</v>
      </c>
      <c r="C16" s="6" t="s">
        <v>82</v>
      </c>
      <c r="D16" s="6">
        <v>11</v>
      </c>
      <c r="E16" s="6">
        <v>10</v>
      </c>
      <c r="F16" s="6">
        <v>28</v>
      </c>
      <c r="G16" s="6">
        <v>21</v>
      </c>
      <c r="H16" s="6">
        <f t="shared" si="0"/>
        <v>70</v>
      </c>
      <c r="I16" s="7" t="str">
        <f t="shared" si="1"/>
        <v>교양(한국어)</v>
      </c>
      <c r="J16" s="17" t="str">
        <f t="shared" si="2"/>
        <v>B</v>
      </c>
      <c r="L16" s="19" t="s">
        <v>232</v>
      </c>
    </row>
    <row r="17" spans="1:12" x14ac:dyDescent="0.3">
      <c r="A17" s="4" t="s">
        <v>91</v>
      </c>
      <c r="B17" s="4" t="s">
        <v>187</v>
      </c>
      <c r="C17" s="6" t="s">
        <v>82</v>
      </c>
      <c r="D17" s="6">
        <v>14</v>
      </c>
      <c r="E17" s="6">
        <v>10</v>
      </c>
      <c r="F17" s="6">
        <v>22</v>
      </c>
      <c r="G17" s="6">
        <v>29</v>
      </c>
      <c r="H17" s="6">
        <f t="shared" si="0"/>
        <v>75</v>
      </c>
      <c r="I17" s="7" t="str">
        <f t="shared" si="1"/>
        <v>전공선택(한국어)</v>
      </c>
      <c r="J17" s="17" t="str">
        <f t="shared" si="2"/>
        <v>A</v>
      </c>
    </row>
    <row r="18" spans="1:12" x14ac:dyDescent="0.3">
      <c r="A18" s="4" t="s">
        <v>132</v>
      </c>
      <c r="B18" s="4" t="s">
        <v>92</v>
      </c>
      <c r="C18" s="6" t="s">
        <v>84</v>
      </c>
      <c r="D18" s="6">
        <v>20</v>
      </c>
      <c r="E18" s="6">
        <v>10</v>
      </c>
      <c r="F18" s="6">
        <v>29</v>
      </c>
      <c r="G18" s="6">
        <v>18</v>
      </c>
      <c r="H18" s="6">
        <f t="shared" si="0"/>
        <v>77</v>
      </c>
      <c r="I18" s="7" t="str">
        <f t="shared" si="1"/>
        <v>교양(영어)</v>
      </c>
      <c r="J18" s="17" t="str">
        <f t="shared" si="2"/>
        <v>B</v>
      </c>
      <c r="L18" t="s">
        <v>233</v>
      </c>
    </row>
    <row r="19" spans="1:12" x14ac:dyDescent="0.3">
      <c r="A19" s="4" t="s">
        <v>83</v>
      </c>
      <c r="B19" s="4" t="s">
        <v>93</v>
      </c>
      <c r="C19" s="6" t="s">
        <v>82</v>
      </c>
      <c r="D19" s="6">
        <v>17</v>
      </c>
      <c r="E19" s="6">
        <v>16</v>
      </c>
      <c r="F19" s="6">
        <v>24</v>
      </c>
      <c r="G19" s="6">
        <v>22</v>
      </c>
      <c r="H19" s="6">
        <f t="shared" si="0"/>
        <v>79</v>
      </c>
      <c r="I19" s="7" t="str">
        <f t="shared" si="1"/>
        <v>전공선택(영어)</v>
      </c>
      <c r="J19" s="17" t="str">
        <f t="shared" si="2"/>
        <v>B</v>
      </c>
      <c r="L19" s="19" t="s">
        <v>234</v>
      </c>
    </row>
    <row r="20" spans="1:12" x14ac:dyDescent="0.3">
      <c r="A20" s="4" t="s">
        <v>94</v>
      </c>
      <c r="B20" s="4" t="s">
        <v>95</v>
      </c>
      <c r="C20" s="6" t="s">
        <v>84</v>
      </c>
      <c r="D20" s="6">
        <v>11</v>
      </c>
      <c r="E20" s="6">
        <v>16</v>
      </c>
      <c r="F20" s="6">
        <v>24</v>
      </c>
      <c r="G20" s="6">
        <v>16</v>
      </c>
      <c r="H20" s="6">
        <f t="shared" si="0"/>
        <v>67</v>
      </c>
      <c r="I20" s="7" t="str">
        <f t="shared" si="1"/>
        <v>전공필수(기타)</v>
      </c>
      <c r="J20" s="17" t="str">
        <f t="shared" si="2"/>
        <v>C</v>
      </c>
      <c r="L20" s="19" t="s">
        <v>235</v>
      </c>
    </row>
    <row r="21" spans="1:12" x14ac:dyDescent="0.3">
      <c r="A21" s="4" t="s">
        <v>129</v>
      </c>
      <c r="B21" s="4" t="s">
        <v>96</v>
      </c>
      <c r="C21" s="6" t="s">
        <v>82</v>
      </c>
      <c r="D21" s="6">
        <v>18</v>
      </c>
      <c r="E21" s="6">
        <v>10</v>
      </c>
      <c r="F21" s="6">
        <v>23</v>
      </c>
      <c r="G21" s="6">
        <v>30</v>
      </c>
      <c r="H21" s="6">
        <f t="shared" si="0"/>
        <v>81</v>
      </c>
      <c r="I21" s="7" t="str">
        <f t="shared" si="1"/>
        <v>교양(한국어)</v>
      </c>
      <c r="J21" s="17" t="str">
        <f t="shared" si="2"/>
        <v>A</v>
      </c>
      <c r="L21" s="19" t="s">
        <v>236</v>
      </c>
    </row>
    <row r="22" spans="1:12" x14ac:dyDescent="0.3">
      <c r="A22" s="4" t="s">
        <v>133</v>
      </c>
      <c r="B22" s="4" t="s">
        <v>97</v>
      </c>
      <c r="C22" s="6" t="s">
        <v>84</v>
      </c>
      <c r="D22" s="6">
        <v>10</v>
      </c>
      <c r="E22" s="6">
        <v>12</v>
      </c>
      <c r="F22" s="6">
        <v>28</v>
      </c>
      <c r="G22" s="6">
        <v>18</v>
      </c>
      <c r="H22" s="6">
        <f t="shared" si="0"/>
        <v>68</v>
      </c>
      <c r="I22" s="7" t="str">
        <f t="shared" si="1"/>
        <v>교양(영어)</v>
      </c>
      <c r="J22" s="17" t="str">
        <f t="shared" si="2"/>
        <v>B</v>
      </c>
    </row>
    <row r="23" spans="1:12" x14ac:dyDescent="0.3">
      <c r="A23" s="4" t="s">
        <v>94</v>
      </c>
      <c r="B23" s="4" t="s">
        <v>98</v>
      </c>
      <c r="C23" s="6" t="s">
        <v>84</v>
      </c>
      <c r="D23" s="6">
        <v>13</v>
      </c>
      <c r="E23" s="6">
        <v>13</v>
      </c>
      <c r="F23" s="6">
        <v>28</v>
      </c>
      <c r="G23" s="6">
        <v>29</v>
      </c>
      <c r="H23" s="6">
        <f t="shared" si="0"/>
        <v>83</v>
      </c>
      <c r="I23" s="7" t="str">
        <f t="shared" si="1"/>
        <v>전공필수(기타)</v>
      </c>
      <c r="J23" s="17" t="str">
        <f t="shared" si="2"/>
        <v>A</v>
      </c>
      <c r="L23" t="s">
        <v>237</v>
      </c>
    </row>
    <row r="24" spans="1:12" x14ac:dyDescent="0.3">
      <c r="B24" s="8"/>
      <c r="H24" s="8"/>
      <c r="J24" s="29"/>
      <c r="L24" s="19" t="s">
        <v>238</v>
      </c>
    </row>
    <row r="25" spans="1:12" x14ac:dyDescent="0.3">
      <c r="A25" t="s">
        <v>99</v>
      </c>
      <c r="H25" s="8"/>
    </row>
    <row r="26" spans="1:12" x14ac:dyDescent="0.3">
      <c r="A26" s="4" t="s">
        <v>100</v>
      </c>
      <c r="B26" s="4" t="s">
        <v>134</v>
      </c>
      <c r="C26" s="4" t="s">
        <v>102</v>
      </c>
      <c r="D26" s="4" t="s">
        <v>103</v>
      </c>
      <c r="E26" s="4" t="s">
        <v>104</v>
      </c>
      <c r="F26" s="9">
        <v>1</v>
      </c>
      <c r="G26" s="9">
        <v>3</v>
      </c>
      <c r="H26" s="28">
        <v>7</v>
      </c>
    </row>
    <row r="27" spans="1:12" x14ac:dyDescent="0.3">
      <c r="A27" s="4" t="s">
        <v>105</v>
      </c>
      <c r="B27" s="4" t="s">
        <v>106</v>
      </c>
      <c r="C27" s="4" t="s">
        <v>107</v>
      </c>
      <c r="D27" s="4" t="s">
        <v>108</v>
      </c>
      <c r="E27" s="4" t="s">
        <v>109</v>
      </c>
      <c r="F27" s="4" t="s">
        <v>110</v>
      </c>
      <c r="G27" s="4" t="s">
        <v>111</v>
      </c>
      <c r="H27" s="4" t="s">
        <v>112</v>
      </c>
    </row>
    <row r="29" spans="1:12" x14ac:dyDescent="0.3">
      <c r="A29" t="s">
        <v>113</v>
      </c>
    </row>
    <row r="30" spans="1:12" x14ac:dyDescent="0.3">
      <c r="A30" s="4" t="s">
        <v>100</v>
      </c>
      <c r="B30" s="5" t="s">
        <v>82</v>
      </c>
      <c r="C30" s="5" t="s">
        <v>84</v>
      </c>
      <c r="D30" s="5" t="s">
        <v>75</v>
      </c>
      <c r="E30" s="5" t="s">
        <v>76</v>
      </c>
      <c r="F30" s="5" t="s">
        <v>77</v>
      </c>
      <c r="G30" s="5" t="s">
        <v>78</v>
      </c>
    </row>
    <row r="31" spans="1:12" x14ac:dyDescent="0.3">
      <c r="A31" s="4" t="s">
        <v>134</v>
      </c>
      <c r="B31" s="6">
        <f t="array" ref="B31">COUNT(IF((LEFT($A$3:$A$23,1)=$A31) * ($C$3:$C$23=B$30),1))</f>
        <v>5</v>
      </c>
      <c r="C31" s="6">
        <f t="array" ref="C31">COUNT(IF((LEFT($A$3:$A$23,1)=$A31) * ($C$3:$C$23=C$30),1))</f>
        <v>4</v>
      </c>
      <c r="D31" s="6">
        <f t="array" ref="D31">MAX(IF(LEFT($A$3:$A$23,1)=$A31,D$3:D$23))</f>
        <v>20</v>
      </c>
      <c r="E31" s="6">
        <f t="array" ref="E31">MAX(IF(LEFT($A$3:$A$23,1)=$A31,E$3:E$23))</f>
        <v>15</v>
      </c>
      <c r="F31" s="6">
        <f t="array" ref="F31">MAX(IF(LEFT($A$3:$A$23,1)=$A31,F$3:F$23))</f>
        <v>29</v>
      </c>
      <c r="G31" s="6">
        <f t="array" ref="G31">MAX(IF(LEFT($A$3:$A$23,1)=$A31,G$3:G$23))</f>
        <v>30</v>
      </c>
    </row>
    <row r="32" spans="1:12" x14ac:dyDescent="0.3">
      <c r="A32" s="4" t="s">
        <v>102</v>
      </c>
      <c r="B32" s="6">
        <f t="array" ref="B32">COUNT(IF((LEFT($A$3:$A$23,1)=$A32) * ($C$3:$C$23=B$30),1))</f>
        <v>5</v>
      </c>
      <c r="C32" s="6">
        <f t="array" ref="C32">COUNT(IF((LEFT($A$3:$A$23,1)=$A32) * ($C$3:$C$23=C$30),1))</f>
        <v>1</v>
      </c>
      <c r="D32" s="6">
        <f t="array" ref="D32">MAX(IF(LEFT($A$3:$A$23,1)=$A32,D$3:D$23))</f>
        <v>19</v>
      </c>
      <c r="E32" s="6">
        <f t="array" ref="E32">MAX(IF(LEFT($A$3:$A$23,1)=$A32,E$3:E$23))</f>
        <v>20</v>
      </c>
      <c r="F32" s="6">
        <f t="array" ref="F32">MAX(IF(LEFT($A$3:$A$23,1)=$A32,F$3:F$23))</f>
        <v>26</v>
      </c>
      <c r="G32" s="6">
        <f t="array" ref="G32">MAX(IF(LEFT($A$3:$A$23,1)=$A32,G$3:G$23))</f>
        <v>29</v>
      </c>
    </row>
    <row r="33" spans="1:7" x14ac:dyDescent="0.3">
      <c r="A33" s="4" t="s">
        <v>103</v>
      </c>
      <c r="B33" s="6">
        <f t="array" ref="B33">COUNT(IF((LEFT($A$3:$A$23,1)=$A33) * ($C$3:$C$23=B$30),1))</f>
        <v>1</v>
      </c>
      <c r="C33" s="6">
        <f t="array" ref="C33">COUNT(IF((LEFT($A$3:$A$23,1)=$A33) * ($C$3:$C$23=C$30),1))</f>
        <v>5</v>
      </c>
      <c r="D33" s="6">
        <f t="array" ref="D33">MAX(IF(LEFT($A$3:$A$23,1)=$A33,D$3:D$23))</f>
        <v>18</v>
      </c>
      <c r="E33" s="6">
        <f t="array" ref="E33">MAX(IF(LEFT($A$3:$A$23,1)=$A33,E$3:E$23))</f>
        <v>18</v>
      </c>
      <c r="F33" s="6">
        <f t="array" ref="F33">MAX(IF(LEFT($A$3:$A$23,1)=$A33,F$3:F$23))</f>
        <v>28</v>
      </c>
      <c r="G33" s="6">
        <f t="array" ref="G33">MAX(IF(LEFT($A$3:$A$23,1)=$A33,G$3:G$23))</f>
        <v>30</v>
      </c>
    </row>
    <row r="35" spans="1:7" x14ac:dyDescent="0.3">
      <c r="A35" t="s">
        <v>114</v>
      </c>
    </row>
    <row r="36" spans="1:7" x14ac:dyDescent="0.3">
      <c r="A36" s="18" t="s">
        <v>115</v>
      </c>
      <c r="B36" s="10" t="s">
        <v>81</v>
      </c>
    </row>
    <row r="37" spans="1:7" x14ac:dyDescent="0.3">
      <c r="A37" s="11">
        <v>60</v>
      </c>
      <c r="B37" s="4" t="s">
        <v>116</v>
      </c>
    </row>
    <row r="38" spans="1:7" x14ac:dyDescent="0.3">
      <c r="A38" s="11">
        <v>50</v>
      </c>
      <c r="B38" s="4" t="s">
        <v>117</v>
      </c>
    </row>
    <row r="39" spans="1:7" x14ac:dyDescent="0.3">
      <c r="A39" s="11">
        <v>40</v>
      </c>
      <c r="B39" s="4" t="s">
        <v>101</v>
      </c>
    </row>
    <row r="40" spans="1:7" x14ac:dyDescent="0.3">
      <c r="A40" s="11">
        <v>30</v>
      </c>
      <c r="B40" s="4" t="s">
        <v>118</v>
      </c>
    </row>
    <row r="41" spans="1:7" x14ac:dyDescent="0.3">
      <c r="A41" s="11">
        <v>20</v>
      </c>
      <c r="B41" s="4" t="s">
        <v>119</v>
      </c>
    </row>
    <row r="42" spans="1:7" x14ac:dyDescent="0.3">
      <c r="A42" s="11">
        <v>10</v>
      </c>
      <c r="B42" s="4" t="s">
        <v>120</v>
      </c>
    </row>
  </sheetData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I32"/>
  <sheetViews>
    <sheetView workbookViewId="0">
      <selection activeCell="O9" sqref="O9"/>
    </sheetView>
  </sheetViews>
  <sheetFormatPr defaultRowHeight="16.5" x14ac:dyDescent="0.3"/>
  <cols>
    <col min="2" max="2" width="20" bestFit="1" customWidth="1"/>
    <col min="3" max="3" width="11.125" bestFit="1" customWidth="1"/>
    <col min="5" max="5" width="11" bestFit="1" customWidth="1"/>
  </cols>
  <sheetData>
    <row r="2" spans="1:9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</row>
    <row r="3" spans="1:9" x14ac:dyDescent="0.3">
      <c r="A3" s="1" t="s">
        <v>9</v>
      </c>
      <c r="B3" s="1" t="s">
        <v>167</v>
      </c>
      <c r="C3" s="2">
        <v>43692</v>
      </c>
      <c r="D3" s="3">
        <v>38200</v>
      </c>
      <c r="E3" s="1" t="s">
        <v>10</v>
      </c>
      <c r="F3" s="1">
        <v>110</v>
      </c>
      <c r="G3" s="3">
        <v>1500</v>
      </c>
      <c r="H3" s="1">
        <v>1</v>
      </c>
      <c r="I3" s="1">
        <v>2019</v>
      </c>
    </row>
    <row r="4" spans="1:9" x14ac:dyDescent="0.3">
      <c r="A4" s="1" t="s">
        <v>11</v>
      </c>
      <c r="B4" s="1" t="s">
        <v>168</v>
      </c>
      <c r="C4" s="2">
        <v>43762</v>
      </c>
      <c r="D4" s="3">
        <v>31700</v>
      </c>
      <c r="E4" s="1" t="s">
        <v>10</v>
      </c>
      <c r="F4" s="1">
        <v>181</v>
      </c>
      <c r="G4" s="3">
        <v>2000</v>
      </c>
      <c r="H4" s="1">
        <v>2</v>
      </c>
      <c r="I4" s="1">
        <v>2019</v>
      </c>
    </row>
    <row r="5" spans="1:9" x14ac:dyDescent="0.3">
      <c r="A5" s="1" t="s">
        <v>12</v>
      </c>
      <c r="B5" s="1" t="s">
        <v>13</v>
      </c>
      <c r="C5" s="2">
        <v>43717</v>
      </c>
      <c r="D5" s="3">
        <v>34500</v>
      </c>
      <c r="E5" s="1" t="s">
        <v>10</v>
      </c>
      <c r="F5" s="1">
        <v>107</v>
      </c>
      <c r="G5" s="3">
        <v>1000</v>
      </c>
      <c r="H5" s="1">
        <v>1</v>
      </c>
      <c r="I5" s="1">
        <v>2019</v>
      </c>
    </row>
    <row r="6" spans="1:9" x14ac:dyDescent="0.3">
      <c r="A6" s="1" t="s">
        <v>14</v>
      </c>
      <c r="B6" s="1" t="s">
        <v>15</v>
      </c>
      <c r="C6" s="2">
        <v>43403</v>
      </c>
      <c r="D6" s="3">
        <v>31400</v>
      </c>
      <c r="E6" s="1" t="s">
        <v>10</v>
      </c>
      <c r="F6" s="1">
        <v>128</v>
      </c>
      <c r="G6" s="3">
        <v>500</v>
      </c>
      <c r="H6" s="1">
        <v>2</v>
      </c>
      <c r="I6" s="1">
        <v>2014</v>
      </c>
    </row>
    <row r="7" spans="1:9" x14ac:dyDescent="0.3">
      <c r="A7" s="1" t="s">
        <v>16</v>
      </c>
      <c r="B7" s="1" t="s">
        <v>169</v>
      </c>
      <c r="C7" s="2">
        <v>43686</v>
      </c>
      <c r="D7" s="3">
        <v>33800</v>
      </c>
      <c r="E7" s="1" t="s">
        <v>10</v>
      </c>
      <c r="F7" s="1">
        <v>104</v>
      </c>
      <c r="G7" s="3">
        <v>500</v>
      </c>
      <c r="H7" s="1">
        <v>1</v>
      </c>
      <c r="I7" s="1">
        <v>2019</v>
      </c>
    </row>
    <row r="8" spans="1:9" x14ac:dyDescent="0.3">
      <c r="A8" s="1" t="s">
        <v>17</v>
      </c>
      <c r="B8" s="1" t="s">
        <v>18</v>
      </c>
      <c r="C8" s="2">
        <v>43619</v>
      </c>
      <c r="D8" s="3">
        <v>33800</v>
      </c>
      <c r="E8" s="1" t="s">
        <v>19</v>
      </c>
      <c r="F8" s="1">
        <v>120</v>
      </c>
      <c r="G8" s="3">
        <v>1000</v>
      </c>
      <c r="H8" s="1">
        <v>2</v>
      </c>
      <c r="I8" s="1">
        <v>2019</v>
      </c>
    </row>
    <row r="9" spans="1:9" x14ac:dyDescent="0.3">
      <c r="A9" s="1" t="s">
        <v>20</v>
      </c>
      <c r="B9" s="1" t="s">
        <v>21</v>
      </c>
      <c r="C9" s="2">
        <v>43652</v>
      </c>
      <c r="D9" s="3">
        <v>36800</v>
      </c>
      <c r="E9" s="1" t="s">
        <v>10</v>
      </c>
      <c r="F9" s="1">
        <v>123</v>
      </c>
      <c r="G9" s="3">
        <v>1500</v>
      </c>
      <c r="H9" s="1">
        <v>1</v>
      </c>
      <c r="I9" s="1">
        <v>2019</v>
      </c>
    </row>
    <row r="10" spans="1:9" x14ac:dyDescent="0.3">
      <c r="A10" s="1" t="s">
        <v>22</v>
      </c>
      <c r="B10" s="1" t="s">
        <v>170</v>
      </c>
      <c r="C10" s="2">
        <v>43627</v>
      </c>
      <c r="D10" s="3">
        <v>37900</v>
      </c>
      <c r="E10" s="1" t="s">
        <v>19</v>
      </c>
      <c r="F10" s="1">
        <v>96</v>
      </c>
      <c r="G10" s="3">
        <v>1000</v>
      </c>
      <c r="H10" s="1">
        <v>2</v>
      </c>
      <c r="I10" s="1">
        <v>2019</v>
      </c>
    </row>
    <row r="11" spans="1:9" x14ac:dyDescent="0.3">
      <c r="A11" s="1" t="s">
        <v>23</v>
      </c>
      <c r="B11" s="1" t="s">
        <v>24</v>
      </c>
      <c r="C11" s="2">
        <v>43605</v>
      </c>
      <c r="D11" s="3">
        <v>37700</v>
      </c>
      <c r="E11" s="1" t="s">
        <v>25</v>
      </c>
      <c r="F11" s="1">
        <v>115</v>
      </c>
      <c r="G11" s="3">
        <v>1000</v>
      </c>
      <c r="H11" s="1">
        <v>2</v>
      </c>
      <c r="I11" s="1">
        <v>2019</v>
      </c>
    </row>
    <row r="12" spans="1:9" x14ac:dyDescent="0.3">
      <c r="A12" s="1" t="s">
        <v>26</v>
      </c>
      <c r="B12" s="1" t="s">
        <v>27</v>
      </c>
      <c r="C12" s="2">
        <v>43707</v>
      </c>
      <c r="D12" s="3">
        <v>37300</v>
      </c>
      <c r="E12" s="1" t="s">
        <v>19</v>
      </c>
      <c r="F12" s="1">
        <v>131</v>
      </c>
      <c r="G12" s="3">
        <v>1000</v>
      </c>
      <c r="H12" s="1">
        <v>2</v>
      </c>
      <c r="I12" s="1">
        <v>2019</v>
      </c>
    </row>
    <row r="13" spans="1:9" x14ac:dyDescent="0.3">
      <c r="A13" s="1" t="s">
        <v>28</v>
      </c>
      <c r="B13" s="1" t="s">
        <v>29</v>
      </c>
      <c r="C13" s="2">
        <v>43578</v>
      </c>
      <c r="D13" s="3">
        <v>38900</v>
      </c>
      <c r="E13" s="1" t="s">
        <v>30</v>
      </c>
      <c r="F13" s="1">
        <v>111</v>
      </c>
      <c r="G13" s="3">
        <v>1000</v>
      </c>
      <c r="H13" s="1">
        <v>2</v>
      </c>
      <c r="I13" s="1">
        <v>2019</v>
      </c>
    </row>
    <row r="14" spans="1:9" x14ac:dyDescent="0.3">
      <c r="A14" s="1" t="s">
        <v>31</v>
      </c>
      <c r="B14" s="1" t="s">
        <v>32</v>
      </c>
      <c r="C14" s="2">
        <v>43598</v>
      </c>
      <c r="D14" s="3">
        <v>38700</v>
      </c>
      <c r="E14" s="1" t="s">
        <v>19</v>
      </c>
      <c r="F14" s="1">
        <v>129</v>
      </c>
      <c r="G14" s="3">
        <v>1000</v>
      </c>
      <c r="H14" s="1">
        <v>2</v>
      </c>
      <c r="I14" s="1">
        <v>2019</v>
      </c>
    </row>
    <row r="15" spans="1:9" x14ac:dyDescent="0.3">
      <c r="A15" s="1" t="s">
        <v>33</v>
      </c>
      <c r="B15" s="1" t="s">
        <v>34</v>
      </c>
      <c r="C15" s="2">
        <v>43585</v>
      </c>
      <c r="D15" s="3">
        <v>35600</v>
      </c>
      <c r="E15" s="1" t="s">
        <v>10</v>
      </c>
      <c r="F15" s="1">
        <v>133</v>
      </c>
      <c r="G15" s="3">
        <v>2000</v>
      </c>
      <c r="H15" s="1">
        <v>1</v>
      </c>
      <c r="I15" s="1">
        <v>2019</v>
      </c>
    </row>
    <row r="16" spans="1:9" x14ac:dyDescent="0.3">
      <c r="A16" s="1" t="s">
        <v>35</v>
      </c>
      <c r="B16" s="1" t="s">
        <v>36</v>
      </c>
      <c r="C16" s="2">
        <v>43598</v>
      </c>
      <c r="D16" s="3">
        <v>31200</v>
      </c>
      <c r="E16" s="1" t="s">
        <v>30</v>
      </c>
      <c r="F16" s="1">
        <v>112</v>
      </c>
      <c r="G16" s="3">
        <v>1000</v>
      </c>
      <c r="H16" s="1">
        <v>2</v>
      </c>
      <c r="I16" s="1">
        <v>2019</v>
      </c>
    </row>
    <row r="17" spans="1:9" x14ac:dyDescent="0.3">
      <c r="A17" s="1" t="s">
        <v>37</v>
      </c>
      <c r="B17" s="1" t="s">
        <v>38</v>
      </c>
      <c r="C17" s="2">
        <v>43121</v>
      </c>
      <c r="D17" s="3">
        <v>35400</v>
      </c>
      <c r="E17" s="1" t="s">
        <v>39</v>
      </c>
      <c r="F17" s="1">
        <v>178</v>
      </c>
      <c r="G17" s="3">
        <v>1000</v>
      </c>
      <c r="H17" s="1">
        <v>2</v>
      </c>
      <c r="I17" s="1">
        <v>2001</v>
      </c>
    </row>
    <row r="18" spans="1:9" x14ac:dyDescent="0.3">
      <c r="A18" s="1" t="s">
        <v>40</v>
      </c>
      <c r="B18" s="1" t="s">
        <v>41</v>
      </c>
      <c r="C18" s="2">
        <v>43590</v>
      </c>
      <c r="D18" s="3">
        <v>36700</v>
      </c>
      <c r="E18" s="1" t="s">
        <v>10</v>
      </c>
      <c r="F18" s="1">
        <v>122</v>
      </c>
      <c r="G18" s="3">
        <v>1500</v>
      </c>
      <c r="H18" s="1">
        <v>1</v>
      </c>
      <c r="I18" s="1">
        <v>2002</v>
      </c>
    </row>
    <row r="19" spans="1:9" x14ac:dyDescent="0.3">
      <c r="A19" s="1" t="s">
        <v>42</v>
      </c>
      <c r="B19" s="1" t="s">
        <v>43</v>
      </c>
      <c r="C19" s="2">
        <v>43605</v>
      </c>
      <c r="D19" s="3">
        <v>31700</v>
      </c>
      <c r="E19" s="1" t="s">
        <v>44</v>
      </c>
      <c r="F19" s="1">
        <v>122</v>
      </c>
      <c r="G19" s="3">
        <v>1500</v>
      </c>
      <c r="H19" s="1">
        <v>2</v>
      </c>
      <c r="I19" s="1">
        <v>2019</v>
      </c>
    </row>
    <row r="20" spans="1:9" x14ac:dyDescent="0.3">
      <c r="A20" s="1" t="s">
        <v>45</v>
      </c>
      <c r="B20" s="1" t="s">
        <v>171</v>
      </c>
      <c r="C20" s="2">
        <v>43179</v>
      </c>
      <c r="D20" s="3">
        <v>35600</v>
      </c>
      <c r="E20" s="1" t="s">
        <v>19</v>
      </c>
      <c r="F20" s="1">
        <v>139</v>
      </c>
      <c r="G20" s="3">
        <v>1000</v>
      </c>
      <c r="H20" s="1">
        <v>2</v>
      </c>
      <c r="I20" s="1">
        <v>2017</v>
      </c>
    </row>
    <row r="21" spans="1:9" x14ac:dyDescent="0.3">
      <c r="A21" s="1" t="s">
        <v>46</v>
      </c>
      <c r="B21" s="1" t="s">
        <v>47</v>
      </c>
      <c r="C21" s="2">
        <v>43585</v>
      </c>
      <c r="D21" s="3">
        <v>36500</v>
      </c>
      <c r="E21" s="1" t="s">
        <v>48</v>
      </c>
      <c r="F21" s="1">
        <v>78</v>
      </c>
      <c r="G21" s="3">
        <v>500</v>
      </c>
      <c r="H21" s="1">
        <v>2</v>
      </c>
      <c r="I21" s="1">
        <v>2019</v>
      </c>
    </row>
    <row r="22" spans="1:9" x14ac:dyDescent="0.3">
      <c r="A22" s="1" t="s">
        <v>49</v>
      </c>
      <c r="B22" s="1" t="s">
        <v>50</v>
      </c>
      <c r="C22" s="2">
        <v>43248</v>
      </c>
      <c r="D22" s="3">
        <v>31200</v>
      </c>
      <c r="E22" s="1" t="s">
        <v>19</v>
      </c>
      <c r="F22" s="1">
        <v>116</v>
      </c>
      <c r="G22" s="3">
        <v>1000</v>
      </c>
      <c r="H22" s="1">
        <v>1</v>
      </c>
      <c r="I22" s="1">
        <v>2018</v>
      </c>
    </row>
    <row r="23" spans="1:9" x14ac:dyDescent="0.3">
      <c r="A23" s="1" t="s">
        <v>51</v>
      </c>
      <c r="B23" s="1" t="s">
        <v>52</v>
      </c>
      <c r="C23" s="2">
        <v>43493</v>
      </c>
      <c r="D23" s="3">
        <v>30100</v>
      </c>
      <c r="E23" s="1" t="s">
        <v>19</v>
      </c>
      <c r="F23" s="1">
        <v>114</v>
      </c>
      <c r="G23" s="3">
        <v>1500</v>
      </c>
      <c r="H23" s="1">
        <v>1</v>
      </c>
      <c r="I23" s="1">
        <v>2018</v>
      </c>
    </row>
    <row r="24" spans="1:9" x14ac:dyDescent="0.3">
      <c r="A24" s="1" t="s">
        <v>53</v>
      </c>
      <c r="B24" s="1" t="s">
        <v>54</v>
      </c>
      <c r="C24" s="2">
        <v>43259</v>
      </c>
      <c r="D24" s="3">
        <v>36800</v>
      </c>
      <c r="E24" s="1" t="s">
        <v>19</v>
      </c>
      <c r="F24" s="1">
        <v>120</v>
      </c>
      <c r="G24" s="3">
        <v>1000</v>
      </c>
      <c r="H24" s="1">
        <v>1</v>
      </c>
      <c r="I24" s="1">
        <v>2018</v>
      </c>
    </row>
    <row r="25" spans="1:9" x14ac:dyDescent="0.3">
      <c r="A25" s="1" t="s">
        <v>55</v>
      </c>
      <c r="B25" s="1" t="s">
        <v>56</v>
      </c>
      <c r="C25" s="2">
        <v>43201</v>
      </c>
      <c r="D25" s="3">
        <v>33200</v>
      </c>
      <c r="E25" s="1" t="s">
        <v>48</v>
      </c>
      <c r="F25" s="1">
        <v>127</v>
      </c>
      <c r="G25" s="3">
        <v>500</v>
      </c>
      <c r="H25" s="1">
        <v>2</v>
      </c>
      <c r="I25" s="1">
        <v>2018</v>
      </c>
    </row>
    <row r="26" spans="1:9" x14ac:dyDescent="0.3">
      <c r="A26" s="1" t="s">
        <v>57</v>
      </c>
      <c r="B26" s="1" t="s">
        <v>58</v>
      </c>
      <c r="C26" s="2">
        <v>43176</v>
      </c>
      <c r="D26" s="3">
        <v>33700</v>
      </c>
      <c r="E26" s="1" t="s">
        <v>19</v>
      </c>
      <c r="F26" s="1">
        <v>126</v>
      </c>
      <c r="G26" s="3">
        <v>500</v>
      </c>
      <c r="H26" s="1">
        <v>1</v>
      </c>
      <c r="I26" s="1">
        <v>2014</v>
      </c>
    </row>
    <row r="27" spans="1:9" x14ac:dyDescent="0.3">
      <c r="A27" s="1" t="s">
        <v>59</v>
      </c>
      <c r="B27" s="1" t="s">
        <v>60</v>
      </c>
      <c r="C27" s="2">
        <v>43258</v>
      </c>
      <c r="D27" s="3">
        <v>31200</v>
      </c>
      <c r="E27" s="1" t="s">
        <v>19</v>
      </c>
      <c r="F27" s="1">
        <v>111</v>
      </c>
      <c r="G27" s="3">
        <v>1000</v>
      </c>
      <c r="H27" s="1">
        <v>1</v>
      </c>
      <c r="I27" s="1">
        <v>2018</v>
      </c>
    </row>
    <row r="28" spans="1:9" x14ac:dyDescent="0.3">
      <c r="A28" s="1" t="s">
        <v>61</v>
      </c>
      <c r="B28" s="1" t="s">
        <v>62</v>
      </c>
      <c r="C28" s="2">
        <v>43483</v>
      </c>
      <c r="D28" s="3">
        <v>37800</v>
      </c>
      <c r="E28" s="1" t="s">
        <v>19</v>
      </c>
      <c r="F28" s="1">
        <v>141</v>
      </c>
      <c r="G28" s="3">
        <v>1000</v>
      </c>
      <c r="H28" s="1">
        <v>2</v>
      </c>
      <c r="I28" s="1">
        <v>2018</v>
      </c>
    </row>
    <row r="29" spans="1:9" x14ac:dyDescent="0.3">
      <c r="A29" s="1" t="s">
        <v>63</v>
      </c>
      <c r="B29" s="1" t="s">
        <v>64</v>
      </c>
      <c r="C29" s="2">
        <v>43399</v>
      </c>
      <c r="D29" s="3">
        <v>36900</v>
      </c>
      <c r="E29" s="1" t="s">
        <v>19</v>
      </c>
      <c r="F29" s="1">
        <v>121</v>
      </c>
      <c r="G29" s="3">
        <v>500</v>
      </c>
      <c r="H29" s="1">
        <v>1</v>
      </c>
      <c r="I29" s="1">
        <v>2018</v>
      </c>
    </row>
    <row r="30" spans="1:9" x14ac:dyDescent="0.3">
      <c r="A30" s="1" t="s">
        <v>65</v>
      </c>
      <c r="B30" s="1" t="s">
        <v>172</v>
      </c>
      <c r="C30" s="2">
        <v>43279</v>
      </c>
      <c r="D30" s="3">
        <v>36500</v>
      </c>
      <c r="E30" s="1" t="s">
        <v>10</v>
      </c>
      <c r="F30" s="1">
        <v>140</v>
      </c>
      <c r="G30" s="3">
        <v>500</v>
      </c>
      <c r="H30" s="1">
        <v>2</v>
      </c>
      <c r="I30" s="1">
        <v>2018</v>
      </c>
    </row>
    <row r="31" spans="1:9" x14ac:dyDescent="0.3">
      <c r="A31" s="1" t="s">
        <v>66</v>
      </c>
      <c r="B31" s="1" t="s">
        <v>67</v>
      </c>
      <c r="C31" s="2">
        <v>43273</v>
      </c>
      <c r="D31" s="3">
        <v>39700</v>
      </c>
      <c r="E31" s="1" t="s">
        <v>19</v>
      </c>
      <c r="F31" s="1">
        <v>132</v>
      </c>
      <c r="G31" s="3">
        <v>500</v>
      </c>
      <c r="H31" s="1">
        <v>2</v>
      </c>
      <c r="I31" s="1">
        <v>2018</v>
      </c>
    </row>
    <row r="32" spans="1:9" x14ac:dyDescent="0.3">
      <c r="A32" s="1" t="s">
        <v>68</v>
      </c>
      <c r="B32" s="1" t="s">
        <v>69</v>
      </c>
      <c r="C32" s="2">
        <v>43285</v>
      </c>
      <c r="D32" s="3">
        <v>34400</v>
      </c>
      <c r="E32" s="1" t="s">
        <v>19</v>
      </c>
      <c r="F32" s="1">
        <v>94</v>
      </c>
      <c r="G32" s="3">
        <v>1000</v>
      </c>
      <c r="H32" s="1">
        <v>1</v>
      </c>
      <c r="I32" s="1">
        <v>2018</v>
      </c>
    </row>
  </sheetData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E11"/>
  <sheetViews>
    <sheetView workbookViewId="0">
      <selection activeCell="B3" sqref="B3"/>
    </sheetView>
  </sheetViews>
  <sheetFormatPr defaultRowHeight="16.5" x14ac:dyDescent="0.3"/>
  <sheetData>
    <row r="1" spans="2:5" x14ac:dyDescent="0.3">
      <c r="B1" t="s">
        <v>71</v>
      </c>
    </row>
    <row r="2" spans="2:5" x14ac:dyDescent="0.3">
      <c r="B2" s="4" t="s">
        <v>75</v>
      </c>
      <c r="C2" s="4" t="s">
        <v>188</v>
      </c>
      <c r="D2" s="4" t="s">
        <v>189</v>
      </c>
      <c r="E2" s="4" t="s">
        <v>78</v>
      </c>
    </row>
    <row r="3" spans="2:5" x14ac:dyDescent="0.3">
      <c r="B3" s="12">
        <v>0.2</v>
      </c>
      <c r="C3" s="12">
        <v>0.3</v>
      </c>
      <c r="D3" s="12">
        <v>0.2</v>
      </c>
      <c r="E3" s="12">
        <v>0.3</v>
      </c>
    </row>
    <row r="5" spans="2:5" x14ac:dyDescent="0.3">
      <c r="B5" t="s">
        <v>99</v>
      </c>
    </row>
    <row r="6" spans="2:5" x14ac:dyDescent="0.3">
      <c r="B6" s="4" t="s">
        <v>75</v>
      </c>
      <c r="C6" s="6">
        <v>60</v>
      </c>
    </row>
    <row r="7" spans="2:5" x14ac:dyDescent="0.3">
      <c r="B7" s="4" t="s">
        <v>188</v>
      </c>
      <c r="C7" s="6">
        <v>75</v>
      </c>
    </row>
    <row r="8" spans="2:5" x14ac:dyDescent="0.3">
      <c r="B8" s="4" t="s">
        <v>189</v>
      </c>
      <c r="C8" s="6">
        <v>85</v>
      </c>
    </row>
    <row r="9" spans="2:5" x14ac:dyDescent="0.3">
      <c r="B9" s="4" t="s">
        <v>78</v>
      </c>
      <c r="C9" s="6">
        <v>80</v>
      </c>
    </row>
    <row r="10" spans="2:5" x14ac:dyDescent="0.3">
      <c r="B10" s="4" t="s">
        <v>79</v>
      </c>
      <c r="C10" s="6">
        <f>C6*B3+C7*C3+C8*D3+C9*E3</f>
        <v>75.5</v>
      </c>
    </row>
    <row r="11" spans="2:5" x14ac:dyDescent="0.3">
      <c r="B11" s="5" t="s">
        <v>121</v>
      </c>
      <c r="C11" s="13">
        <f>C10*5/100</f>
        <v>3.7749999999999999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C8"/>
  <sheetViews>
    <sheetView workbookViewId="0">
      <selection activeCell="K11" sqref="K11"/>
    </sheetView>
  </sheetViews>
  <sheetFormatPr defaultRowHeight="16.5" x14ac:dyDescent="0.3"/>
  <cols>
    <col min="1" max="1" width="11" bestFit="1" customWidth="1"/>
    <col min="2" max="3" width="10.875" bestFit="1" customWidth="1"/>
  </cols>
  <sheetData>
    <row r="2" spans="1:3" x14ac:dyDescent="0.3">
      <c r="A2" t="s">
        <v>71</v>
      </c>
    </row>
    <row r="3" spans="1:3" x14ac:dyDescent="0.3">
      <c r="A3" s="4" t="s">
        <v>122</v>
      </c>
      <c r="B3" s="4" t="s">
        <v>123</v>
      </c>
      <c r="C3" s="4" t="s">
        <v>124</v>
      </c>
    </row>
    <row r="4" spans="1:3" x14ac:dyDescent="0.3">
      <c r="A4" s="4" t="s">
        <v>190</v>
      </c>
      <c r="B4" s="14">
        <v>2350000</v>
      </c>
      <c r="C4" s="14">
        <f>IF(B4&gt;=2000000,B4*85%,B4*90%)</f>
        <v>1997500</v>
      </c>
    </row>
    <row r="5" spans="1:3" x14ac:dyDescent="0.3">
      <c r="A5" s="4" t="s">
        <v>191</v>
      </c>
      <c r="B5" s="14">
        <v>1300000</v>
      </c>
      <c r="C5" s="14">
        <v>1031300</v>
      </c>
    </row>
    <row r="6" spans="1:3" x14ac:dyDescent="0.3">
      <c r="A6" s="4" t="s">
        <v>192</v>
      </c>
      <c r="B6" s="14">
        <v>1800000</v>
      </c>
      <c r="C6" s="14">
        <v>1475600</v>
      </c>
    </row>
    <row r="7" spans="1:3" x14ac:dyDescent="0.3">
      <c r="A7" s="4" t="s">
        <v>193</v>
      </c>
      <c r="B7" s="14">
        <v>3540000</v>
      </c>
      <c r="C7" s="14">
        <f t="shared" ref="C7" si="0">IF(B7&gt;=2000000,B7*85%,B7*90%)</f>
        <v>3009000</v>
      </c>
    </row>
    <row r="8" spans="1:3" x14ac:dyDescent="0.3">
      <c r="A8" s="4" t="s">
        <v>194</v>
      </c>
      <c r="B8" s="14">
        <v>2500000</v>
      </c>
      <c r="C8" s="14">
        <v>2181900</v>
      </c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15"/>
  <sheetViews>
    <sheetView workbookViewId="0">
      <selection activeCell="D9" sqref="D9"/>
    </sheetView>
  </sheetViews>
  <sheetFormatPr defaultRowHeight="16.5" x14ac:dyDescent="0.3"/>
  <cols>
    <col min="1" max="1" width="14.125" customWidth="1"/>
    <col min="3" max="3" width="10.75" customWidth="1"/>
  </cols>
  <sheetData>
    <row r="1" spans="1:3" ht="17.25" x14ac:dyDescent="0.3">
      <c r="A1" s="26" t="s">
        <v>127</v>
      </c>
      <c r="B1" s="26"/>
      <c r="C1" s="26"/>
    </row>
    <row r="2" spans="1:3" x14ac:dyDescent="0.3">
      <c r="A2" s="15"/>
      <c r="B2" s="15"/>
      <c r="C2" s="15"/>
    </row>
    <row r="3" spans="1:3" x14ac:dyDescent="0.3">
      <c r="A3" s="4" t="s">
        <v>122</v>
      </c>
      <c r="B3" s="4" t="s">
        <v>125</v>
      </c>
      <c r="C3" s="4" t="s">
        <v>126</v>
      </c>
    </row>
    <row r="4" spans="1:3" x14ac:dyDescent="0.3">
      <c r="A4" s="6" t="s">
        <v>135</v>
      </c>
      <c r="B4" s="6">
        <v>1</v>
      </c>
      <c r="C4" s="16" t="s">
        <v>136</v>
      </c>
    </row>
    <row r="5" spans="1:3" x14ac:dyDescent="0.3">
      <c r="A5" s="6"/>
      <c r="B5" s="6"/>
      <c r="C5" s="16"/>
    </row>
    <row r="6" spans="1:3" x14ac:dyDescent="0.3">
      <c r="A6" s="6"/>
      <c r="B6" s="6"/>
      <c r="C6" s="16"/>
    </row>
    <row r="7" spans="1:3" x14ac:dyDescent="0.3">
      <c r="A7" s="6"/>
      <c r="B7" s="6"/>
      <c r="C7" s="16"/>
    </row>
    <row r="8" spans="1:3" x14ac:dyDescent="0.3">
      <c r="A8" s="6"/>
      <c r="B8" s="6"/>
      <c r="C8" s="16"/>
    </row>
    <row r="9" spans="1:3" x14ac:dyDescent="0.3">
      <c r="A9" s="6"/>
      <c r="B9" s="6"/>
      <c r="C9" s="16"/>
    </row>
    <row r="10" spans="1:3" x14ac:dyDescent="0.3">
      <c r="A10" s="6"/>
      <c r="B10" s="6"/>
      <c r="C10" s="16"/>
    </row>
    <row r="11" spans="1:3" x14ac:dyDescent="0.3">
      <c r="A11" s="6"/>
      <c r="B11" s="6"/>
      <c r="C11" s="16"/>
    </row>
    <row r="12" spans="1:3" x14ac:dyDescent="0.3">
      <c r="A12" s="6"/>
      <c r="B12" s="6"/>
      <c r="C12" s="16"/>
    </row>
    <row r="13" spans="1:3" x14ac:dyDescent="0.3">
      <c r="A13" s="6"/>
      <c r="B13" s="6"/>
      <c r="C13" s="16"/>
    </row>
    <row r="14" spans="1:3" x14ac:dyDescent="0.3">
      <c r="A14" s="6"/>
      <c r="B14" s="6"/>
      <c r="C14" s="16"/>
    </row>
    <row r="15" spans="1:3" x14ac:dyDescent="0.3">
      <c r="A15" s="6"/>
      <c r="B15" s="6"/>
      <c r="C15" s="6"/>
    </row>
  </sheetData>
  <mergeCells count="1">
    <mergeCell ref="A1:C1"/>
  </mergeCells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mb판매내역">
          <controlPr defaultSize="0" autoLine="0" r:id="rId4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6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6" r:id="rId3" name="cmb판매내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봉쌤TV</dc:creator>
  <cp:lastModifiedBy>이혁재</cp:lastModifiedBy>
  <dcterms:created xsi:type="dcterms:W3CDTF">2019-05-19T06:45:21Z</dcterms:created>
  <dcterms:modified xsi:type="dcterms:W3CDTF">2020-10-19T18:11:34Z</dcterms:modified>
</cp:coreProperties>
</file>