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강의필기\봉쌤 유투부 엑셀 1급 강의\"/>
    </mc:Choice>
  </mc:AlternateContent>
  <xr:revisionPtr revIDLastSave="0" documentId="13_ncr:1_{C4051787-662B-46DA-9A40-AF70DB6E3C5E}" xr6:coauthVersionLast="45" xr6:coauthVersionMax="45" xr10:uidLastSave="{00000000-0000-0000-0000-000000000000}"/>
  <bookViews>
    <workbookView xWindow="-120" yWindow="-120" windowWidth="20730" windowHeight="11160" tabRatio="799" xr2:uid="{00000000-000D-0000-FFFF-FFFF00000000}"/>
  </bookViews>
  <sheets>
    <sheet name="데이터표1" sheetId="25" r:id="rId1"/>
    <sheet name="데이터표2" sheetId="26" r:id="rId2"/>
  </sheets>
  <functionGroups builtInGroupCount="19"/>
  <calcPr calcId="191029"/>
</workbook>
</file>

<file path=xl/calcChain.xml><?xml version="1.0" encoding="utf-8"?>
<calcChain xmlns="http://schemas.openxmlformats.org/spreadsheetml/2006/main">
  <c r="F33" i="25" l="1"/>
  <c r="C6" i="26" l="1"/>
  <c r="C10" i="26" s="1"/>
  <c r="C6" i="25"/>
  <c r="F6" i="25" s="1"/>
  <c r="C9" i="25" l="1"/>
  <c r="F19" i="25" s="1"/>
  <c r="C13" i="2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F6" authorId="0" shapeId="0" xr:uid="{749BF34D-7041-4048-903B-324AF33B29C1}">
      <text>
        <r>
          <rPr>
            <sz val="9"/>
            <color indexed="81"/>
            <rFont val="돋움"/>
            <family val="3"/>
            <charset val="129"/>
          </rPr>
          <t>분석할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19" authorId="0" shapeId="0" xr:uid="{F215AF40-4C53-4DB7-9078-978A6584D589}">
      <text>
        <r>
          <rPr>
            <sz val="9"/>
            <color indexed="81"/>
            <rFont val="돋움"/>
            <family val="3"/>
            <charset val="129"/>
          </rPr>
          <t>분석할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33" authorId="0" shapeId="0" xr:uid="{A989D157-6958-43A7-8C6F-A618AA57F24B}">
      <text>
        <r>
          <rPr>
            <sz val="9"/>
            <color indexed="81"/>
            <rFont val="돋움"/>
            <family val="3"/>
            <charset val="129"/>
          </rPr>
          <t>분석할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<sst xmlns="http://schemas.openxmlformats.org/spreadsheetml/2006/main" count="23" uniqueCount="19">
  <si>
    <t>판매량</t>
    <phoneticPr fontId="6" type="noConversion"/>
  </si>
  <si>
    <t xml:space="preserve">판매량 </t>
    <phoneticPr fontId="6" type="noConversion"/>
  </si>
  <si>
    <t>매출원가</t>
    <phoneticPr fontId="6" type="noConversion"/>
  </si>
  <si>
    <t>총이익</t>
    <phoneticPr fontId="6" type="noConversion"/>
  </si>
  <si>
    <t>판매비</t>
    <phoneticPr fontId="6" type="noConversion"/>
  </si>
  <si>
    <t>관리비</t>
    <phoneticPr fontId="6" type="noConversion"/>
  </si>
  <si>
    <t>대출금</t>
    <phoneticPr fontId="6" type="noConversion"/>
  </si>
  <si>
    <t>년이자</t>
    <phoneticPr fontId="6" type="noConversion"/>
  </si>
  <si>
    <t>기간</t>
    <phoneticPr fontId="6" type="noConversion"/>
  </si>
  <si>
    <t>월상환액</t>
    <phoneticPr fontId="6" type="noConversion"/>
  </si>
  <si>
    <t>단가</t>
    <phoneticPr fontId="6" type="noConversion"/>
  </si>
  <si>
    <t>단
가</t>
    <phoneticPr fontId="6" type="noConversion"/>
  </si>
  <si>
    <t>총매출액</t>
    <phoneticPr fontId="6" type="noConversion"/>
  </si>
  <si>
    <t>판매이익</t>
    <phoneticPr fontId="6" type="noConversion"/>
  </si>
  <si>
    <t xml:space="preserve">* 데이터 표 * </t>
    <phoneticPr fontId="1" type="noConversion"/>
  </si>
  <si>
    <t xml:space="preserve">예측 되는 범위의 특정 항목 값을 분석하는 기능 </t>
    <phoneticPr fontId="1" type="noConversion"/>
  </si>
  <si>
    <t xml:space="preserve">[데이터] - [예측] - 가상분석 - 데이터표 </t>
    <phoneticPr fontId="1" type="noConversion"/>
  </si>
  <si>
    <t>데이터표 상 행과 열에 대응하는 값을(셀)지정한뒤 확인</t>
    <phoneticPr fontId="1" type="noConversion"/>
  </si>
  <si>
    <t>교차점(좌상귀) 에 최종 값(셀)을 대응시켜준뒤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</si>
</sst>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₩&quot;#,##0;[Red]\-&quot;₩&quot;#,##0"/>
    <numFmt numFmtId="41" formatCode="_-* #,##0_-;\-* #,##0_-;_-* &quot;-&quot;_-;_-@_-"/>
    <numFmt numFmtId="176" formatCode="&quot;₩&quot;#,##0_);[Red]\(&quot;₩&quot;#,##0\)"/>
    <numFmt numFmtId="177" formatCode="#&quot;년&quot;"/>
    <numFmt numFmtId="178" formatCode="0.0%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indexed="63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9" fontId="3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5" fillId="0" borderId="0" xfId="6" applyFont="1" applyAlignment="1">
      <alignment vertical="center"/>
    </xf>
    <xf numFmtId="0" fontId="5" fillId="0" borderId="0" xfId="7" applyFont="1" applyAlignment="1">
      <alignment vertical="center"/>
    </xf>
    <xf numFmtId="0" fontId="5" fillId="0" borderId="0" xfId="7" applyFont="1" applyBorder="1" applyAlignment="1">
      <alignment vertical="center"/>
    </xf>
    <xf numFmtId="0" fontId="5" fillId="0" borderId="3" xfId="6" applyFont="1" applyBorder="1" applyAlignment="1">
      <alignment vertical="center"/>
    </xf>
    <xf numFmtId="0" fontId="5" fillId="0" borderId="2" xfId="7" applyFont="1" applyBorder="1" applyAlignment="1">
      <alignment vertical="center"/>
    </xf>
    <xf numFmtId="176" fontId="7" fillId="0" borderId="4" xfId="6" applyNumberFormat="1" applyFont="1" applyBorder="1" applyAlignment="1">
      <alignment vertical="center"/>
    </xf>
    <xf numFmtId="0" fontId="7" fillId="0" borderId="1" xfId="6" applyFont="1" applyFill="1" applyBorder="1" applyAlignment="1">
      <alignment horizontal="center" vertical="center"/>
    </xf>
    <xf numFmtId="176" fontId="7" fillId="0" borderId="0" xfId="6" applyNumberFormat="1" applyFont="1" applyAlignment="1">
      <alignment vertical="center"/>
    </xf>
    <xf numFmtId="176" fontId="7" fillId="0" borderId="1" xfId="6" applyNumberFormat="1" applyFont="1" applyFill="1" applyBorder="1" applyAlignment="1">
      <alignment vertical="center"/>
    </xf>
    <xf numFmtId="0" fontId="5" fillId="0" borderId="1" xfId="8" applyFont="1" applyBorder="1" applyAlignment="1">
      <alignment vertical="center"/>
    </xf>
    <xf numFmtId="41" fontId="5" fillId="0" borderId="1" xfId="4" applyFont="1" applyBorder="1" applyAlignment="1">
      <alignment vertical="center"/>
    </xf>
    <xf numFmtId="0" fontId="5" fillId="0" borderId="0" xfId="8" applyFont="1" applyAlignment="1">
      <alignment vertical="center"/>
    </xf>
    <xf numFmtId="10" fontId="5" fillId="0" borderId="1" xfId="4" applyNumberFormat="1" applyFont="1" applyBorder="1" applyAlignment="1">
      <alignment vertical="center"/>
    </xf>
    <xf numFmtId="177" fontId="5" fillId="0" borderId="1" xfId="4" applyNumberFormat="1" applyFont="1" applyBorder="1" applyAlignment="1">
      <alignment vertical="center"/>
    </xf>
    <xf numFmtId="6" fontId="5" fillId="2" borderId="1" xfId="4" applyNumberFormat="1" applyFont="1" applyFill="1" applyBorder="1" applyAlignment="1">
      <alignment vertical="center"/>
    </xf>
    <xf numFmtId="41" fontId="5" fillId="0" borderId="0" xfId="4" applyFont="1" applyAlignment="1">
      <alignment vertical="center"/>
    </xf>
    <xf numFmtId="6" fontId="5" fillId="0" borderId="1" xfId="4" applyNumberFormat="1" applyFont="1" applyBorder="1" applyAlignment="1">
      <alignment vertical="center"/>
    </xf>
    <xf numFmtId="177" fontId="5" fillId="0" borderId="1" xfId="8" applyNumberFormat="1" applyFont="1" applyBorder="1" applyAlignment="1">
      <alignment horizontal="center" vertical="center"/>
    </xf>
    <xf numFmtId="178" fontId="5" fillId="0" borderId="1" xfId="5" applyNumberFormat="1" applyFont="1" applyBorder="1" applyAlignment="1">
      <alignment horizontal="center" vertical="center"/>
    </xf>
    <xf numFmtId="0" fontId="7" fillId="0" borderId="1" xfId="6" applyFont="1" applyBorder="1" applyAlignment="1">
      <alignment vertical="center"/>
    </xf>
    <xf numFmtId="176" fontId="7" fillId="0" borderId="1" xfId="6" applyNumberFormat="1" applyFont="1" applyBorder="1" applyAlignment="1">
      <alignment vertical="center"/>
    </xf>
    <xf numFmtId="176" fontId="7" fillId="0" borderId="1" xfId="4" applyNumberFormat="1" applyFont="1" applyBorder="1" applyAlignment="1">
      <alignment vertical="center"/>
    </xf>
    <xf numFmtId="0" fontId="5" fillId="3" borderId="1" xfId="6" applyFont="1" applyFill="1" applyBorder="1" applyAlignment="1">
      <alignment vertical="center"/>
    </xf>
    <xf numFmtId="0" fontId="5" fillId="3" borderId="1" xfId="6" applyFont="1" applyFill="1" applyBorder="1" applyAlignment="1">
      <alignment horizontal="center" vertical="center"/>
    </xf>
    <xf numFmtId="0" fontId="5" fillId="3" borderId="1" xfId="7" applyFont="1" applyFill="1" applyBorder="1" applyAlignment="1">
      <alignment horizontal="center" vertical="center" wrapText="1"/>
    </xf>
    <xf numFmtId="0" fontId="5" fillId="3" borderId="1" xfId="7" applyFont="1" applyFill="1" applyBorder="1" applyAlignment="1">
      <alignment horizontal="center" vertical="center"/>
    </xf>
    <xf numFmtId="0" fontId="5" fillId="0" borderId="2" xfId="8" applyFont="1" applyBorder="1" applyAlignment="1">
      <alignment horizontal="center" vertical="center"/>
    </xf>
    <xf numFmtId="0" fontId="5" fillId="0" borderId="3" xfId="8" applyFont="1" applyBorder="1" applyAlignment="1">
      <alignment horizontal="center" vertical="center" textRotation="255"/>
    </xf>
  </cellXfs>
  <cellStyles count="9">
    <cellStyle name="백분율" xfId="5" builtinId="5"/>
    <cellStyle name="백분율 2" xfId="2" xr:uid="{00000000-0005-0000-0000-000001000000}"/>
    <cellStyle name="쉼표 [0]" xfId="4" builtinId="6"/>
    <cellStyle name="쉼표 [0] 2" xfId="3" xr:uid="{00000000-0005-0000-0000-000003000000}"/>
    <cellStyle name="표준" xfId="0" builtinId="0"/>
    <cellStyle name="표준 2" xfId="1" xr:uid="{00000000-0005-0000-0000-000005000000}"/>
    <cellStyle name="표준_Sheet1" xfId="8" xr:uid="{00000000-0005-0000-0000-000006000000}"/>
    <cellStyle name="표준_분석작업" xfId="6" xr:uid="{00000000-0005-0000-0000-000007000000}"/>
    <cellStyle name="표준_상공회의소문제" xfId="7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31</xdr:row>
      <xdr:rowOff>85725</xdr:rowOff>
    </xdr:from>
    <xdr:to>
      <xdr:col>5</xdr:col>
      <xdr:colOff>19050</xdr:colOff>
      <xdr:row>32</xdr:row>
      <xdr:rowOff>104775</xdr:rowOff>
    </xdr:to>
    <xdr:cxnSp macro="">
      <xdr:nvCxnSpPr>
        <xdr:cNvPr id="10" name="직선 화살표 연결선 9">
          <a:extLst>
            <a:ext uri="{FF2B5EF4-FFF2-40B4-BE49-F238E27FC236}">
              <a16:creationId xmlns:a16="http://schemas.microsoft.com/office/drawing/2014/main" id="{B78679DA-30F8-491D-AFB6-A70A5DA37FF5}"/>
            </a:ext>
          </a:extLst>
        </xdr:cNvPr>
        <xdr:cNvCxnSpPr/>
      </xdr:nvCxnSpPr>
      <xdr:spPr>
        <a:xfrm>
          <a:off x="1790700" y="923925"/>
          <a:ext cx="1390650" cy="228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32</xdr:row>
      <xdr:rowOff>114300</xdr:rowOff>
    </xdr:from>
    <xdr:to>
      <xdr:col>4</xdr:col>
      <xdr:colOff>676275</xdr:colOff>
      <xdr:row>35</xdr:row>
      <xdr:rowOff>9525</xdr:rowOff>
    </xdr:to>
    <xdr:cxnSp macro="">
      <xdr:nvCxnSpPr>
        <xdr:cNvPr id="11" name="직선 화살표 연결선 10">
          <a:extLst>
            <a:ext uri="{FF2B5EF4-FFF2-40B4-BE49-F238E27FC236}">
              <a16:creationId xmlns:a16="http://schemas.microsoft.com/office/drawing/2014/main" id="{0403AE85-B713-46A9-91A9-2600AB3B1B3C}"/>
            </a:ext>
          </a:extLst>
        </xdr:cNvPr>
        <xdr:cNvCxnSpPr/>
      </xdr:nvCxnSpPr>
      <xdr:spPr>
        <a:xfrm flipV="1">
          <a:off x="1800225" y="1162050"/>
          <a:ext cx="1352550" cy="523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B2:N43"/>
  <sheetViews>
    <sheetView tabSelected="1" workbookViewId="0">
      <selection activeCell="N10" sqref="N10"/>
    </sheetView>
  </sheetViews>
  <sheetFormatPr defaultRowHeight="16.5"/>
  <cols>
    <col min="1" max="1" width="2.125" customWidth="1"/>
    <col min="2" max="2" width="12.375" customWidth="1"/>
  </cols>
  <sheetData>
    <row r="2" spans="2:14">
      <c r="B2" s="1"/>
      <c r="C2" s="1"/>
      <c r="D2" s="1"/>
      <c r="E2" s="1"/>
      <c r="F2" s="1"/>
      <c r="G2" s="1"/>
      <c r="H2" s="1"/>
      <c r="I2" s="1"/>
      <c r="J2" s="1"/>
      <c r="K2" s="2"/>
    </row>
    <row r="3" spans="2:14">
      <c r="B3" s="1"/>
      <c r="C3" s="1"/>
      <c r="D3" s="1"/>
      <c r="E3" s="2"/>
      <c r="F3" s="2"/>
      <c r="G3" s="2"/>
      <c r="H3" s="2"/>
      <c r="I3" s="2"/>
      <c r="J3" s="2"/>
      <c r="K3" s="2"/>
    </row>
    <row r="4" spans="2:14">
      <c r="B4" s="23" t="s">
        <v>0</v>
      </c>
      <c r="C4" s="20">
        <v>40</v>
      </c>
      <c r="D4" s="1"/>
      <c r="E4" s="2"/>
      <c r="F4" s="2"/>
      <c r="G4" s="2"/>
      <c r="H4" s="2"/>
      <c r="I4" s="2"/>
      <c r="J4" s="2"/>
      <c r="K4" s="2"/>
      <c r="N4" t="s">
        <v>14</v>
      </c>
    </row>
    <row r="5" spans="2:14">
      <c r="B5" s="23" t="s">
        <v>10</v>
      </c>
      <c r="C5" s="21">
        <v>200</v>
      </c>
      <c r="D5" s="1"/>
      <c r="E5" s="3"/>
      <c r="F5" s="4"/>
      <c r="G5" s="24" t="s">
        <v>1</v>
      </c>
      <c r="H5" s="24"/>
      <c r="I5" s="24"/>
      <c r="J5" s="24"/>
      <c r="K5" s="24"/>
      <c r="N5" t="s">
        <v>15</v>
      </c>
    </row>
    <row r="6" spans="2:14">
      <c r="B6" s="23" t="s">
        <v>12</v>
      </c>
      <c r="C6" s="22">
        <f>C4*C5</f>
        <v>8000</v>
      </c>
      <c r="D6" s="1"/>
      <c r="E6" s="5"/>
      <c r="F6" s="6">
        <f>C6</f>
        <v>8000</v>
      </c>
      <c r="G6" s="7">
        <v>10</v>
      </c>
      <c r="H6" s="7">
        <v>20</v>
      </c>
      <c r="I6" s="7">
        <v>30</v>
      </c>
      <c r="J6" s="7">
        <v>40</v>
      </c>
      <c r="K6" s="7">
        <v>50</v>
      </c>
    </row>
    <row r="7" spans="2:14">
      <c r="B7" s="1"/>
      <c r="C7" s="8"/>
      <c r="D7" s="1"/>
      <c r="E7" s="25" t="s">
        <v>11</v>
      </c>
      <c r="F7" s="9">
        <v>150</v>
      </c>
      <c r="G7" s="9">
        <f t="dataTable" ref="G7:K16" dt2D="1" dtr="1" r1="C4" r2="C5"/>
        <v>1500</v>
      </c>
      <c r="H7" s="9">
        <v>3000</v>
      </c>
      <c r="I7" s="9">
        <v>4500</v>
      </c>
      <c r="J7" s="9">
        <v>6000</v>
      </c>
      <c r="K7" s="9">
        <v>7500</v>
      </c>
      <c r="N7" t="s">
        <v>16</v>
      </c>
    </row>
    <row r="8" spans="2:14">
      <c r="B8" s="23" t="s">
        <v>2</v>
      </c>
      <c r="C8" s="21">
        <v>900</v>
      </c>
      <c r="D8" s="1"/>
      <c r="E8" s="26"/>
      <c r="F8" s="9">
        <v>160</v>
      </c>
      <c r="G8" s="9">
        <v>1600</v>
      </c>
      <c r="H8" s="9">
        <v>3200</v>
      </c>
      <c r="I8" s="9">
        <v>4800</v>
      </c>
      <c r="J8" s="9">
        <v>6400</v>
      </c>
      <c r="K8" s="9">
        <v>8000</v>
      </c>
    </row>
    <row r="9" spans="2:14">
      <c r="B9" s="23" t="s">
        <v>3</v>
      </c>
      <c r="C9" s="21">
        <f>C6-C8</f>
        <v>7100</v>
      </c>
      <c r="D9" s="1"/>
      <c r="E9" s="26"/>
      <c r="F9" s="9">
        <v>170</v>
      </c>
      <c r="G9" s="9">
        <v>1700</v>
      </c>
      <c r="H9" s="9">
        <v>3400</v>
      </c>
      <c r="I9" s="9">
        <v>5100</v>
      </c>
      <c r="J9" s="9">
        <v>6800</v>
      </c>
      <c r="K9" s="9">
        <v>8500</v>
      </c>
      <c r="N9" t="s">
        <v>18</v>
      </c>
    </row>
    <row r="10" spans="2:14">
      <c r="B10" s="1"/>
      <c r="C10" s="8"/>
      <c r="D10" s="1"/>
      <c r="E10" s="26"/>
      <c r="F10" s="9">
        <v>180</v>
      </c>
      <c r="G10" s="9">
        <v>1800</v>
      </c>
      <c r="H10" s="9">
        <v>3600</v>
      </c>
      <c r="I10" s="9">
        <v>5400</v>
      </c>
      <c r="J10" s="9">
        <v>7200</v>
      </c>
      <c r="K10" s="9">
        <v>9000</v>
      </c>
      <c r="N10" t="s">
        <v>17</v>
      </c>
    </row>
    <row r="11" spans="2:14">
      <c r="B11" s="23" t="s">
        <v>4</v>
      </c>
      <c r="C11" s="21">
        <v>50</v>
      </c>
      <c r="D11" s="1"/>
      <c r="E11" s="26"/>
      <c r="F11" s="9">
        <v>190</v>
      </c>
      <c r="G11" s="9">
        <v>1900</v>
      </c>
      <c r="H11" s="9">
        <v>3800</v>
      </c>
      <c r="I11" s="9">
        <v>5700</v>
      </c>
      <c r="J11" s="9">
        <v>7600</v>
      </c>
      <c r="K11" s="9">
        <v>9500</v>
      </c>
    </row>
    <row r="12" spans="2:14">
      <c r="B12" s="23" t="s">
        <v>5</v>
      </c>
      <c r="C12" s="21">
        <v>10</v>
      </c>
      <c r="D12" s="1"/>
      <c r="E12" s="26"/>
      <c r="F12" s="9">
        <v>200</v>
      </c>
      <c r="G12" s="9">
        <v>2000</v>
      </c>
      <c r="H12" s="9">
        <v>4000</v>
      </c>
      <c r="I12" s="9">
        <v>6000</v>
      </c>
      <c r="J12" s="9">
        <v>8000</v>
      </c>
      <c r="K12" s="9">
        <v>10000</v>
      </c>
    </row>
    <row r="13" spans="2:14">
      <c r="B13" s="23" t="s">
        <v>13</v>
      </c>
      <c r="C13" s="21">
        <f>$C$9-$C$11-$C$12</f>
        <v>7040</v>
      </c>
      <c r="D13" s="1"/>
      <c r="E13" s="26"/>
      <c r="F13" s="9">
        <v>210</v>
      </c>
      <c r="G13" s="9">
        <v>2100</v>
      </c>
      <c r="H13" s="9">
        <v>4200</v>
      </c>
      <c r="I13" s="9">
        <v>6300</v>
      </c>
      <c r="J13" s="9">
        <v>8400</v>
      </c>
      <c r="K13" s="9">
        <v>10500</v>
      </c>
    </row>
    <row r="14" spans="2:14">
      <c r="B14" s="2"/>
      <c r="C14" s="2"/>
      <c r="D14" s="2"/>
      <c r="E14" s="26"/>
      <c r="F14" s="9">
        <v>220</v>
      </c>
      <c r="G14" s="9">
        <v>2200</v>
      </c>
      <c r="H14" s="9">
        <v>4400</v>
      </c>
      <c r="I14" s="9">
        <v>6600</v>
      </c>
      <c r="J14" s="9">
        <v>8800</v>
      </c>
      <c r="K14" s="9">
        <v>11000</v>
      </c>
    </row>
    <row r="15" spans="2:14">
      <c r="B15" s="2"/>
      <c r="C15" s="2"/>
      <c r="D15" s="2"/>
      <c r="E15" s="26"/>
      <c r="F15" s="9">
        <v>230</v>
      </c>
      <c r="G15" s="9">
        <v>2300</v>
      </c>
      <c r="H15" s="9">
        <v>4600</v>
      </c>
      <c r="I15" s="9">
        <v>6900</v>
      </c>
      <c r="J15" s="9">
        <v>9200</v>
      </c>
      <c r="K15" s="9">
        <v>11500</v>
      </c>
    </row>
    <row r="16" spans="2:14">
      <c r="B16" s="2"/>
      <c r="C16" s="2"/>
      <c r="D16" s="2"/>
      <c r="E16" s="26"/>
      <c r="F16" s="9">
        <v>240</v>
      </c>
      <c r="G16" s="9">
        <v>2400</v>
      </c>
      <c r="H16" s="9">
        <v>4800</v>
      </c>
      <c r="I16" s="9">
        <v>7200</v>
      </c>
      <c r="J16" s="9">
        <v>9600</v>
      </c>
      <c r="K16" s="9">
        <v>12000</v>
      </c>
    </row>
    <row r="18" spans="5:11">
      <c r="E18" s="3"/>
      <c r="F18" s="4"/>
      <c r="G18" s="24" t="s">
        <v>1</v>
      </c>
      <c r="H18" s="24"/>
      <c r="I18" s="24"/>
      <c r="J18" s="24"/>
      <c r="K18" s="24"/>
    </row>
    <row r="19" spans="5:11">
      <c r="E19" s="5"/>
      <c r="F19" s="6">
        <f>C9</f>
        <v>7100</v>
      </c>
      <c r="G19" s="7">
        <v>10</v>
      </c>
      <c r="H19" s="7">
        <v>20</v>
      </c>
      <c r="I19" s="7">
        <v>30</v>
      </c>
      <c r="J19" s="7">
        <v>40</v>
      </c>
      <c r="K19" s="7">
        <v>50</v>
      </c>
    </row>
    <row r="20" spans="5:11">
      <c r="E20" s="25" t="s">
        <v>11</v>
      </c>
      <c r="F20" s="9">
        <v>150</v>
      </c>
      <c r="G20" s="9">
        <f t="dataTable" ref="G20:K29" dt2D="1" dtr="1" r1="C4" r2="C5" ca="1"/>
        <v>600</v>
      </c>
      <c r="H20" s="9">
        <v>2100</v>
      </c>
      <c r="I20" s="9">
        <v>3600</v>
      </c>
      <c r="J20" s="9">
        <v>5100</v>
      </c>
      <c r="K20" s="9">
        <v>6600</v>
      </c>
    </row>
    <row r="21" spans="5:11">
      <c r="E21" s="26"/>
      <c r="F21" s="9">
        <v>160</v>
      </c>
      <c r="G21" s="9">
        <v>700</v>
      </c>
      <c r="H21" s="9">
        <v>2300</v>
      </c>
      <c r="I21" s="9">
        <v>3900</v>
      </c>
      <c r="J21" s="9">
        <v>5500</v>
      </c>
      <c r="K21" s="9">
        <v>7100</v>
      </c>
    </row>
    <row r="22" spans="5:11">
      <c r="E22" s="26"/>
      <c r="F22" s="9">
        <v>170</v>
      </c>
      <c r="G22" s="9">
        <v>800</v>
      </c>
      <c r="H22" s="9">
        <v>2500</v>
      </c>
      <c r="I22" s="9">
        <v>4200</v>
      </c>
      <c r="J22" s="9">
        <v>5900</v>
      </c>
      <c r="K22" s="9">
        <v>7600</v>
      </c>
    </row>
    <row r="23" spans="5:11">
      <c r="E23" s="26"/>
      <c r="F23" s="9">
        <v>180</v>
      </c>
      <c r="G23" s="9">
        <v>900</v>
      </c>
      <c r="H23" s="9">
        <v>2700</v>
      </c>
      <c r="I23" s="9">
        <v>4500</v>
      </c>
      <c r="J23" s="9">
        <v>6300</v>
      </c>
      <c r="K23" s="9">
        <v>8100</v>
      </c>
    </row>
    <row r="24" spans="5:11">
      <c r="E24" s="26"/>
      <c r="F24" s="9">
        <v>190</v>
      </c>
      <c r="G24" s="9">
        <v>1000</v>
      </c>
      <c r="H24" s="9">
        <v>2900</v>
      </c>
      <c r="I24" s="9">
        <v>4800</v>
      </c>
      <c r="J24" s="9">
        <v>6700</v>
      </c>
      <c r="K24" s="9">
        <v>8600</v>
      </c>
    </row>
    <row r="25" spans="5:11">
      <c r="E25" s="26"/>
      <c r="F25" s="9">
        <v>200</v>
      </c>
      <c r="G25" s="9">
        <v>1100</v>
      </c>
      <c r="H25" s="9">
        <v>3100</v>
      </c>
      <c r="I25" s="9">
        <v>5100</v>
      </c>
      <c r="J25" s="9">
        <v>7100</v>
      </c>
      <c r="K25" s="9">
        <v>9100</v>
      </c>
    </row>
    <row r="26" spans="5:11">
      <c r="E26" s="26"/>
      <c r="F26" s="9">
        <v>210</v>
      </c>
      <c r="G26" s="9">
        <v>1200</v>
      </c>
      <c r="H26" s="9">
        <v>3300</v>
      </c>
      <c r="I26" s="9">
        <v>5400</v>
      </c>
      <c r="J26" s="9">
        <v>7500</v>
      </c>
      <c r="K26" s="9">
        <v>9600</v>
      </c>
    </row>
    <row r="27" spans="5:11">
      <c r="E27" s="26"/>
      <c r="F27" s="9">
        <v>220</v>
      </c>
      <c r="G27" s="9">
        <v>1300</v>
      </c>
      <c r="H27" s="9">
        <v>3500</v>
      </c>
      <c r="I27" s="9">
        <v>5700</v>
      </c>
      <c r="J27" s="9">
        <v>7900</v>
      </c>
      <c r="K27" s="9">
        <v>10100</v>
      </c>
    </row>
    <row r="28" spans="5:11">
      <c r="E28" s="26"/>
      <c r="F28" s="9">
        <v>230</v>
      </c>
      <c r="G28" s="9">
        <v>1400</v>
      </c>
      <c r="H28" s="9">
        <v>3700</v>
      </c>
      <c r="I28" s="9">
        <v>6000</v>
      </c>
      <c r="J28" s="9">
        <v>8300</v>
      </c>
      <c r="K28" s="9">
        <v>10600</v>
      </c>
    </row>
    <row r="29" spans="5:11">
      <c r="E29" s="26"/>
      <c r="F29" s="9">
        <v>240</v>
      </c>
      <c r="G29" s="9">
        <v>1500</v>
      </c>
      <c r="H29" s="9">
        <v>3900</v>
      </c>
      <c r="I29" s="9">
        <v>6300</v>
      </c>
      <c r="J29" s="9">
        <v>8700</v>
      </c>
      <c r="K29" s="9">
        <v>11100</v>
      </c>
    </row>
    <row r="32" spans="5:11">
      <c r="E32" s="3"/>
      <c r="F32" s="4"/>
      <c r="G32" s="24" t="s">
        <v>1</v>
      </c>
      <c r="H32" s="24"/>
      <c r="I32" s="24"/>
      <c r="J32" s="24"/>
      <c r="K32" s="24"/>
    </row>
    <row r="33" spans="5:11" ht="16.5" customHeight="1">
      <c r="E33" s="5"/>
      <c r="F33" s="6">
        <f>C23</f>
        <v>0</v>
      </c>
      <c r="G33" s="7">
        <v>10</v>
      </c>
      <c r="H33" s="7">
        <v>20</v>
      </c>
      <c r="I33" s="7">
        <v>30</v>
      </c>
      <c r="J33" s="7">
        <v>40</v>
      </c>
      <c r="K33" s="7">
        <v>50</v>
      </c>
    </row>
    <row r="34" spans="5:11" ht="16.5" customHeight="1">
      <c r="E34" s="25" t="s">
        <v>11</v>
      </c>
      <c r="F34" s="9">
        <v>150</v>
      </c>
      <c r="G34" s="9">
        <v>600</v>
      </c>
      <c r="H34" s="9">
        <v>2100</v>
      </c>
      <c r="I34" s="9">
        <v>3600</v>
      </c>
      <c r="J34" s="9">
        <v>5100</v>
      </c>
      <c r="K34" s="9">
        <v>6600</v>
      </c>
    </row>
    <row r="35" spans="5:11">
      <c r="E35" s="26"/>
      <c r="F35" s="9">
        <v>160</v>
      </c>
      <c r="G35" s="9">
        <v>700</v>
      </c>
      <c r="H35" s="9">
        <v>2300</v>
      </c>
      <c r="I35" s="9">
        <v>3900</v>
      </c>
      <c r="J35" s="9">
        <v>5500</v>
      </c>
      <c r="K35" s="9">
        <v>7100</v>
      </c>
    </row>
    <row r="36" spans="5:11">
      <c r="E36" s="26"/>
      <c r="F36" s="9">
        <v>170</v>
      </c>
      <c r="G36" s="9">
        <v>800</v>
      </c>
      <c r="H36" s="9">
        <v>2500</v>
      </c>
      <c r="I36" s="9">
        <v>4200</v>
      </c>
      <c r="J36" s="9">
        <v>5900</v>
      </c>
      <c r="K36" s="9">
        <v>7600</v>
      </c>
    </row>
    <row r="37" spans="5:11">
      <c r="E37" s="26"/>
      <c r="F37" s="9">
        <v>180</v>
      </c>
      <c r="G37" s="9">
        <v>900</v>
      </c>
      <c r="H37" s="9">
        <v>2700</v>
      </c>
      <c r="I37" s="9">
        <v>4500</v>
      </c>
      <c r="J37" s="9">
        <v>6300</v>
      </c>
      <c r="K37" s="9">
        <v>8100</v>
      </c>
    </row>
    <row r="38" spans="5:11">
      <c r="E38" s="26"/>
      <c r="F38" s="9">
        <v>190</v>
      </c>
      <c r="G38" s="9">
        <v>1000</v>
      </c>
      <c r="H38" s="9">
        <v>2900</v>
      </c>
      <c r="I38" s="9">
        <v>4800</v>
      </c>
      <c r="J38" s="9">
        <v>6700</v>
      </c>
      <c r="K38" s="9">
        <v>8600</v>
      </c>
    </row>
    <row r="39" spans="5:11">
      <c r="E39" s="26"/>
      <c r="F39" s="9">
        <v>200</v>
      </c>
      <c r="G39" s="9">
        <v>1100</v>
      </c>
      <c r="H39" s="9">
        <v>3100</v>
      </c>
      <c r="I39" s="9">
        <v>5100</v>
      </c>
      <c r="J39" s="9">
        <v>7100</v>
      </c>
      <c r="K39" s="9">
        <v>9100</v>
      </c>
    </row>
    <row r="40" spans="5:11">
      <c r="E40" s="26"/>
      <c r="F40" s="9">
        <v>210</v>
      </c>
      <c r="G40" s="9">
        <v>1200</v>
      </c>
      <c r="H40" s="9">
        <v>3300</v>
      </c>
      <c r="I40" s="9">
        <v>5400</v>
      </c>
      <c r="J40" s="9">
        <v>7500</v>
      </c>
      <c r="K40" s="9">
        <v>9600</v>
      </c>
    </row>
    <row r="41" spans="5:11">
      <c r="E41" s="26"/>
      <c r="F41" s="9">
        <v>220</v>
      </c>
      <c r="G41" s="9">
        <v>1300</v>
      </c>
      <c r="H41" s="9">
        <v>3500</v>
      </c>
      <c r="I41" s="9">
        <v>5700</v>
      </c>
      <c r="J41" s="9">
        <v>7900</v>
      </c>
      <c r="K41" s="9">
        <v>10100</v>
      </c>
    </row>
    <row r="42" spans="5:11">
      <c r="E42" s="26"/>
      <c r="F42" s="9">
        <v>230</v>
      </c>
      <c r="G42" s="9">
        <v>1400</v>
      </c>
      <c r="H42" s="9">
        <v>3700</v>
      </c>
      <c r="I42" s="9">
        <v>6000</v>
      </c>
      <c r="J42" s="9">
        <v>8300</v>
      </c>
      <c r="K42" s="9">
        <v>10600</v>
      </c>
    </row>
    <row r="43" spans="5:11">
      <c r="E43" s="26"/>
      <c r="F43" s="9">
        <v>240</v>
      </c>
      <c r="G43" s="9">
        <v>1500</v>
      </c>
      <c r="H43" s="9">
        <v>3900</v>
      </c>
      <c r="I43" s="9">
        <v>6300</v>
      </c>
      <c r="J43" s="9">
        <v>8700</v>
      </c>
      <c r="K43" s="9">
        <v>11100</v>
      </c>
    </row>
  </sheetData>
  <mergeCells count="6">
    <mergeCell ref="E34:E43"/>
    <mergeCell ref="G32:K32"/>
    <mergeCell ref="G5:K5"/>
    <mergeCell ref="E7:E16"/>
    <mergeCell ref="G18:K18"/>
    <mergeCell ref="E20:E29"/>
  </mergeCells>
  <phoneticPr fontId="1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</sheetPr>
  <dimension ref="B2:H21"/>
  <sheetViews>
    <sheetView workbookViewId="0">
      <selection activeCell="C10" sqref="C10:H21"/>
    </sheetView>
  </sheetViews>
  <sheetFormatPr defaultRowHeight="16.5"/>
  <cols>
    <col min="1" max="1" width="2.75" customWidth="1"/>
    <col min="3" max="3" width="11.875" bestFit="1" customWidth="1"/>
  </cols>
  <sheetData>
    <row r="2" spans="2:8">
      <c r="B2" s="10" t="s">
        <v>6</v>
      </c>
      <c r="C2" s="11">
        <v>10000000</v>
      </c>
      <c r="D2" s="12"/>
      <c r="E2" s="12"/>
      <c r="F2" s="12"/>
      <c r="G2" s="12"/>
      <c r="H2" s="12"/>
    </row>
    <row r="3" spans="2:8">
      <c r="B3" s="10" t="s">
        <v>7</v>
      </c>
      <c r="C3" s="13">
        <v>0.08</v>
      </c>
      <c r="D3" s="12"/>
      <c r="E3" s="12"/>
      <c r="F3" s="12"/>
      <c r="G3" s="12"/>
      <c r="H3" s="12"/>
    </row>
    <row r="4" spans="2:8">
      <c r="B4" s="10" t="s">
        <v>8</v>
      </c>
      <c r="C4" s="14">
        <v>2</v>
      </c>
      <c r="D4" s="12"/>
      <c r="E4" s="12"/>
      <c r="F4" s="12"/>
      <c r="G4" s="12"/>
      <c r="H4" s="12"/>
    </row>
    <row r="5" spans="2:8">
      <c r="B5" s="10"/>
      <c r="C5" s="11"/>
      <c r="D5" s="12"/>
      <c r="E5" s="12"/>
      <c r="F5" s="12"/>
      <c r="G5" s="12"/>
      <c r="H5" s="12"/>
    </row>
    <row r="6" spans="2:8">
      <c r="B6" s="10" t="s">
        <v>9</v>
      </c>
      <c r="C6" s="15">
        <f>PMT(C3/12,C4*12,-C2)</f>
        <v>452272.91456184152</v>
      </c>
      <c r="D6" s="12"/>
      <c r="E6" s="12"/>
      <c r="F6" s="12"/>
      <c r="G6" s="12"/>
      <c r="H6" s="12"/>
    </row>
    <row r="7" spans="2:8">
      <c r="B7" s="12"/>
      <c r="C7" s="12"/>
      <c r="D7" s="12"/>
      <c r="E7" s="12"/>
      <c r="F7" s="12"/>
      <c r="G7" s="12"/>
      <c r="H7" s="12"/>
    </row>
    <row r="8" spans="2:8">
      <c r="B8" s="12"/>
      <c r="C8" s="12"/>
      <c r="D8" s="12"/>
      <c r="E8" s="12"/>
      <c r="F8" s="12"/>
      <c r="G8" s="12"/>
      <c r="H8" s="12"/>
    </row>
    <row r="9" spans="2:8">
      <c r="B9" s="12"/>
      <c r="C9" s="16"/>
      <c r="D9" s="27"/>
      <c r="E9" s="27"/>
      <c r="F9" s="27"/>
      <c r="G9" s="27"/>
      <c r="H9" s="27"/>
    </row>
    <row r="10" spans="2:8">
      <c r="B10" s="12"/>
      <c r="C10" s="17">
        <f>C6</f>
        <v>452272.91456184152</v>
      </c>
      <c r="D10" s="18">
        <v>1</v>
      </c>
      <c r="E10" s="18">
        <v>2</v>
      </c>
      <c r="F10" s="18">
        <v>3</v>
      </c>
      <c r="G10" s="18">
        <v>4</v>
      </c>
      <c r="H10" s="18">
        <v>5</v>
      </c>
    </row>
    <row r="11" spans="2:8">
      <c r="B11" s="28"/>
      <c r="C11" s="19">
        <v>0.04</v>
      </c>
      <c r="D11" s="11">
        <f t="dataTable" ref="D11:H21" dt2D="1" dtr="1" r1="C4" r2="C3"/>
        <v>851499.04195557919</v>
      </c>
      <c r="E11" s="11">
        <v>434249.22170774051</v>
      </c>
      <c r="F11" s="11">
        <v>295239.85006843682</v>
      </c>
      <c r="G11" s="11">
        <v>225790.54641689977</v>
      </c>
      <c r="H11" s="11">
        <v>184165.22055266352</v>
      </c>
    </row>
    <row r="12" spans="2:8">
      <c r="B12" s="28"/>
      <c r="C12" s="19">
        <v>4.4999999999999998E-2</v>
      </c>
      <c r="D12" s="11">
        <v>853785.21586372063</v>
      </c>
      <c r="E12" s="11">
        <v>436478.1155208344</v>
      </c>
      <c r="F12" s="11">
        <v>297469.2447837558</v>
      </c>
      <c r="G12" s="11">
        <v>228034.86077431258</v>
      </c>
      <c r="H12" s="11">
        <v>186430.1924151665</v>
      </c>
    </row>
    <row r="13" spans="2:8">
      <c r="B13" s="28"/>
      <c r="C13" s="19">
        <v>0.05</v>
      </c>
      <c r="D13" s="11">
        <v>856074.81788467127</v>
      </c>
      <c r="E13" s="11">
        <v>438713.89734068443</v>
      </c>
      <c r="F13" s="11">
        <v>299708.97104665474</v>
      </c>
      <c r="G13" s="11">
        <v>230292.93570646518</v>
      </c>
      <c r="H13" s="11">
        <v>188712.33644010933</v>
      </c>
    </row>
    <row r="14" spans="2:8">
      <c r="B14" s="28"/>
      <c r="C14" s="19">
        <v>5.5E-2</v>
      </c>
      <c r="D14" s="11">
        <v>858367.84572349582</v>
      </c>
      <c r="E14" s="11">
        <v>440956.56158136606</v>
      </c>
      <c r="F14" s="11">
        <v>301959.01804310281</v>
      </c>
      <c r="G14" s="11">
        <v>232564.75227243194</v>
      </c>
      <c r="H14" s="11">
        <v>191011.62171782242</v>
      </c>
    </row>
    <row r="15" spans="2:8">
      <c r="B15" s="28"/>
      <c r="C15" s="19">
        <v>0.06</v>
      </c>
      <c r="D15" s="11">
        <v>860664.29707080638</v>
      </c>
      <c r="E15" s="11">
        <v>443206.10252756893</v>
      </c>
      <c r="F15" s="11">
        <v>304219.37451555108</v>
      </c>
      <c r="G15" s="11">
        <v>234850.29047935616</v>
      </c>
      <c r="H15" s="11">
        <v>193328.01529427912</v>
      </c>
    </row>
    <row r="16" spans="2:8">
      <c r="B16" s="28"/>
      <c r="C16" s="19">
        <v>6.5000000000000002E-2</v>
      </c>
      <c r="D16" s="11">
        <v>862964.16960281401</v>
      </c>
      <c r="E16" s="11">
        <v>445462.51433510991</v>
      </c>
      <c r="F16" s="11">
        <v>306490.02876509784</v>
      </c>
      <c r="G16" s="11">
        <v>237149.52928897695</v>
      </c>
      <c r="H16" s="11">
        <v>195661.48218728541</v>
      </c>
    </row>
    <row r="17" spans="2:8">
      <c r="B17" s="28"/>
      <c r="C17" s="19">
        <v>7.0000000000000007E-2</v>
      </c>
      <c r="D17" s="11">
        <v>865267.46098138066</v>
      </c>
      <c r="E17" s="11">
        <v>447725.79103145417</v>
      </c>
      <c r="F17" s="11">
        <v>308770.96865371941</v>
      </c>
      <c r="G17" s="11">
        <v>239462.44662442908</v>
      </c>
      <c r="H17" s="11">
        <v>198011.98540349538</v>
      </c>
    </row>
    <row r="18" spans="2:8">
      <c r="B18" s="28"/>
      <c r="C18" s="19">
        <v>7.4999999999999997E-2</v>
      </c>
      <c r="D18" s="11">
        <v>867574.16885407211</v>
      </c>
      <c r="E18" s="11">
        <v>449995.92651624535</v>
      </c>
      <c r="F18" s="11">
        <v>311062.18160656438</v>
      </c>
      <c r="G18" s="11">
        <v>241789.01937731233</v>
      </c>
      <c r="H18" s="11">
        <v>200379.48595623762</v>
      </c>
    </row>
    <row r="19" spans="2:8">
      <c r="B19" s="28"/>
      <c r="C19" s="19">
        <v>0.08</v>
      </c>
      <c r="D19" s="11">
        <v>869884.29085421062</v>
      </c>
      <c r="E19" s="11">
        <v>452272.91456184152</v>
      </c>
      <c r="F19" s="11">
        <v>313363.6546143085</v>
      </c>
      <c r="G19" s="11">
        <v>244129.22341502484</v>
      </c>
      <c r="H19" s="11">
        <v>202763.94288413681</v>
      </c>
    </row>
    <row r="20" spans="2:8">
      <c r="B20" s="28"/>
      <c r="C20" s="19">
        <v>8.5000000000000006E-2</v>
      </c>
      <c r="D20" s="11">
        <v>872197.8246009273</v>
      </c>
      <c r="E20" s="11">
        <v>454556.74881386041</v>
      </c>
      <c r="F20" s="11">
        <v>315675.37423557398</v>
      </c>
      <c r="G20" s="11">
        <v>246483.0335883571</v>
      </c>
      <c r="H20" s="11">
        <v>205165.3132705125</v>
      </c>
    </row>
    <row r="21" spans="2:8">
      <c r="B21" s="28"/>
      <c r="C21" s="19">
        <v>0.09</v>
      </c>
      <c r="D21" s="11">
        <v>874514.76769921428</v>
      </c>
      <c r="E21" s="11">
        <v>456847.4227917309</v>
      </c>
      <c r="F21" s="11">
        <v>317997.32659940684</v>
      </c>
      <c r="G21" s="11">
        <v>248850.42373934211</v>
      </c>
      <c r="H21" s="11">
        <v>207583.55226354007</v>
      </c>
    </row>
  </sheetData>
  <mergeCells count="2">
    <mergeCell ref="D9:H9"/>
    <mergeCell ref="B11:B2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데이터표1</vt:lpstr>
      <vt:lpstr>데이터표2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이혁재</cp:lastModifiedBy>
  <dcterms:created xsi:type="dcterms:W3CDTF">2016-04-05T10:10:25Z</dcterms:created>
  <dcterms:modified xsi:type="dcterms:W3CDTF">2020-09-21T17:27:40Z</dcterms:modified>
</cp:coreProperties>
</file>