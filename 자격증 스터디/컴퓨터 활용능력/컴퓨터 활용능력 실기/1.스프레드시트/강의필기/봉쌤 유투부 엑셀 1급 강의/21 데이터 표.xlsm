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4385" yWindow="-15" windowWidth="14430" windowHeight="12315" tabRatio="799" activeTab="1"/>
  </bookViews>
  <sheets>
    <sheet name="데이터표1" sheetId="25" r:id="rId1"/>
    <sheet name="데이터표2" sheetId="26" r:id="rId2"/>
  </sheets>
  <functionGroups builtInGroupCount="17"/>
  <calcPr calcId="145621"/>
</workbook>
</file>

<file path=xl/calcChain.xml><?xml version="1.0" encoding="utf-8"?>
<calcChain xmlns="http://schemas.openxmlformats.org/spreadsheetml/2006/main">
  <c r="C6" i="26" l="1"/>
  <c r="C6" i="25"/>
  <c r="C9" i="25" s="1"/>
  <c r="C13" i="25" s="1"/>
  <c r="F6" i="25" s="1"/>
</calcChain>
</file>

<file path=xl/sharedStrings.xml><?xml version="1.0" encoding="utf-8"?>
<sst xmlns="http://schemas.openxmlformats.org/spreadsheetml/2006/main" count="14" uniqueCount="14">
  <si>
    <t>판매량</t>
    <phoneticPr fontId="6" type="noConversion"/>
  </si>
  <si>
    <t xml:space="preserve">판매량 </t>
    <phoneticPr fontId="6" type="noConversion"/>
  </si>
  <si>
    <t>매출원가</t>
    <phoneticPr fontId="6" type="noConversion"/>
  </si>
  <si>
    <t>총이익</t>
    <phoneticPr fontId="6" type="noConversion"/>
  </si>
  <si>
    <t>판매비</t>
    <phoneticPr fontId="6" type="noConversion"/>
  </si>
  <si>
    <t>관리비</t>
    <phoneticPr fontId="6" type="noConversion"/>
  </si>
  <si>
    <t>대출금</t>
    <phoneticPr fontId="6" type="noConversion"/>
  </si>
  <si>
    <t>년이자</t>
    <phoneticPr fontId="6" type="noConversion"/>
  </si>
  <si>
    <t>기간</t>
    <phoneticPr fontId="6" type="noConversion"/>
  </si>
  <si>
    <t>월상환액</t>
    <phoneticPr fontId="6" type="noConversion"/>
  </si>
  <si>
    <t>단가</t>
    <phoneticPr fontId="6" type="noConversion"/>
  </si>
  <si>
    <t>단
가</t>
    <phoneticPr fontId="6" type="noConversion"/>
  </si>
  <si>
    <t>총매출액</t>
    <phoneticPr fontId="6" type="noConversion"/>
  </si>
  <si>
    <t>판매이익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</si>
</sst>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6" formatCode="&quot;₩&quot;#,##0;[Red]\-&quot;₩&quot;#,##0"/>
    <numFmt numFmtId="41" formatCode="_-* #,##0_-;\-* #,##0_-;_-* &quot;-&quot;_-;_-@_-"/>
    <numFmt numFmtId="176" formatCode="&quot;₩&quot;#,##0_);[Red]\(&quot;₩&quot;#,##0\)"/>
    <numFmt numFmtId="177" formatCode="#&quot;년&quot;"/>
    <numFmt numFmtId="178" formatCode="0.0%"/>
  </numFmts>
  <fonts count="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name val="Arial"/>
      <family val="2"/>
    </font>
    <font>
      <sz val="11"/>
      <name val="돋움"/>
      <family val="3"/>
      <charset val="129"/>
    </font>
    <font>
      <sz val="1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color indexed="63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>
      <alignment vertical="center"/>
    </xf>
    <xf numFmtId="0" fontId="2" fillId="0" borderId="0">
      <alignment vertical="center"/>
    </xf>
    <xf numFmtId="9" fontId="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</cellStyleXfs>
  <cellXfs count="29">
    <xf numFmtId="0" fontId="0" fillId="0" borderId="0" xfId="0">
      <alignment vertical="center"/>
    </xf>
    <xf numFmtId="0" fontId="5" fillId="0" borderId="0" xfId="6" applyFont="1" applyAlignment="1">
      <alignment vertical="center"/>
    </xf>
    <xf numFmtId="0" fontId="5" fillId="0" borderId="0" xfId="7" applyFont="1" applyAlignment="1">
      <alignment vertical="center"/>
    </xf>
    <xf numFmtId="0" fontId="5" fillId="0" borderId="0" xfId="7" applyFont="1" applyBorder="1" applyAlignment="1">
      <alignment vertical="center"/>
    </xf>
    <xf numFmtId="0" fontId="5" fillId="0" borderId="3" xfId="6" applyFont="1" applyBorder="1" applyAlignment="1">
      <alignment vertical="center"/>
    </xf>
    <xf numFmtId="0" fontId="5" fillId="0" borderId="2" xfId="7" applyFont="1" applyBorder="1" applyAlignment="1">
      <alignment vertical="center"/>
    </xf>
    <xf numFmtId="176" fontId="7" fillId="0" borderId="4" xfId="6" applyNumberFormat="1" applyFont="1" applyBorder="1" applyAlignment="1">
      <alignment vertical="center"/>
    </xf>
    <xf numFmtId="0" fontId="7" fillId="0" borderId="1" xfId="6" applyFont="1" applyFill="1" applyBorder="1" applyAlignment="1">
      <alignment horizontal="center" vertical="center"/>
    </xf>
    <xf numFmtId="176" fontId="7" fillId="0" borderId="0" xfId="6" applyNumberFormat="1" applyFont="1" applyAlignment="1">
      <alignment vertical="center"/>
    </xf>
    <xf numFmtId="176" fontId="7" fillId="0" borderId="1" xfId="6" applyNumberFormat="1" applyFont="1" applyFill="1" applyBorder="1" applyAlignment="1">
      <alignment vertical="center"/>
    </xf>
    <xf numFmtId="0" fontId="5" fillId="0" borderId="1" xfId="8" applyFont="1" applyBorder="1" applyAlignment="1">
      <alignment vertical="center"/>
    </xf>
    <xf numFmtId="41" fontId="5" fillId="0" borderId="1" xfId="4" applyFont="1" applyBorder="1" applyAlignment="1">
      <alignment vertical="center"/>
    </xf>
    <xf numFmtId="0" fontId="5" fillId="0" borderId="0" xfId="8" applyFont="1" applyAlignment="1">
      <alignment vertical="center"/>
    </xf>
    <xf numFmtId="10" fontId="5" fillId="0" borderId="1" xfId="4" applyNumberFormat="1" applyFont="1" applyBorder="1" applyAlignment="1">
      <alignment vertical="center"/>
    </xf>
    <xf numFmtId="177" fontId="5" fillId="0" borderId="1" xfId="4" applyNumberFormat="1" applyFont="1" applyBorder="1" applyAlignment="1">
      <alignment vertical="center"/>
    </xf>
    <xf numFmtId="6" fontId="5" fillId="2" borderId="1" xfId="4" applyNumberFormat="1" applyFont="1" applyFill="1" applyBorder="1" applyAlignment="1">
      <alignment vertical="center"/>
    </xf>
    <xf numFmtId="41" fontId="5" fillId="0" borderId="0" xfId="4" applyFont="1" applyAlignment="1">
      <alignment vertical="center"/>
    </xf>
    <xf numFmtId="6" fontId="5" fillId="0" borderId="1" xfId="4" applyNumberFormat="1" applyFont="1" applyBorder="1" applyAlignment="1">
      <alignment vertical="center"/>
    </xf>
    <xf numFmtId="177" fontId="5" fillId="0" borderId="1" xfId="8" applyNumberFormat="1" applyFont="1" applyBorder="1" applyAlignment="1">
      <alignment horizontal="center" vertical="center"/>
    </xf>
    <xf numFmtId="178" fontId="5" fillId="0" borderId="1" xfId="5" applyNumberFormat="1" applyFont="1" applyBorder="1" applyAlignment="1">
      <alignment horizontal="center" vertical="center"/>
    </xf>
    <xf numFmtId="0" fontId="7" fillId="0" borderId="1" xfId="6" applyFont="1" applyBorder="1" applyAlignment="1">
      <alignment vertical="center"/>
    </xf>
    <xf numFmtId="176" fontId="7" fillId="0" borderId="1" xfId="6" applyNumberFormat="1" applyFont="1" applyBorder="1" applyAlignment="1">
      <alignment vertical="center"/>
    </xf>
    <xf numFmtId="176" fontId="7" fillId="0" borderId="1" xfId="4" applyNumberFormat="1" applyFont="1" applyBorder="1" applyAlignment="1">
      <alignment vertical="center"/>
    </xf>
    <xf numFmtId="0" fontId="5" fillId="3" borderId="1" xfId="6" applyFont="1" applyFill="1" applyBorder="1" applyAlignment="1">
      <alignment vertical="center"/>
    </xf>
    <xf numFmtId="0" fontId="5" fillId="3" borderId="1" xfId="6" applyFont="1" applyFill="1" applyBorder="1" applyAlignment="1">
      <alignment horizontal="center" vertical="center"/>
    </xf>
    <xf numFmtId="0" fontId="5" fillId="3" borderId="1" xfId="7" applyFont="1" applyFill="1" applyBorder="1" applyAlignment="1">
      <alignment horizontal="center" vertical="center" wrapText="1"/>
    </xf>
    <xf numFmtId="0" fontId="5" fillId="3" borderId="1" xfId="7" applyFont="1" applyFill="1" applyBorder="1" applyAlignment="1">
      <alignment horizontal="center" vertical="center"/>
    </xf>
    <xf numFmtId="0" fontId="5" fillId="0" borderId="2" xfId="8" applyFont="1" applyBorder="1" applyAlignment="1">
      <alignment horizontal="center" vertical="center"/>
    </xf>
    <xf numFmtId="0" fontId="5" fillId="0" borderId="3" xfId="8" applyFont="1" applyBorder="1" applyAlignment="1">
      <alignment horizontal="center" vertical="center" textRotation="255"/>
    </xf>
  </cellXfs>
  <cellStyles count="9">
    <cellStyle name="백분율" xfId="5" builtinId="5"/>
    <cellStyle name="백분율 2" xfId="2"/>
    <cellStyle name="쉼표 [0]" xfId="4" builtinId="6"/>
    <cellStyle name="쉼표 [0] 2" xfId="3"/>
    <cellStyle name="표준" xfId="0" builtinId="0"/>
    <cellStyle name="표준 2" xfId="1"/>
    <cellStyle name="표준_Sheet1" xfId="8"/>
    <cellStyle name="표준_분석작업" xfId="6"/>
    <cellStyle name="표준_상공회의소문제" xfId="7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B2:K16"/>
  <sheetViews>
    <sheetView workbookViewId="0">
      <selection activeCell="F7" sqref="F7"/>
    </sheetView>
  </sheetViews>
  <sheetFormatPr defaultRowHeight="16.5" x14ac:dyDescent="0.3"/>
  <cols>
    <col min="1" max="1" width="2.125" customWidth="1"/>
    <col min="2" max="2" width="12.375" customWidth="1"/>
  </cols>
  <sheetData>
    <row r="2" spans="2:11" x14ac:dyDescent="0.3">
      <c r="B2" s="1"/>
      <c r="C2" s="1"/>
      <c r="D2" s="1"/>
      <c r="E2" s="1"/>
      <c r="F2" s="1"/>
      <c r="G2" s="1"/>
      <c r="H2" s="1"/>
      <c r="I2" s="1"/>
      <c r="J2" s="1"/>
      <c r="K2" s="2"/>
    </row>
    <row r="3" spans="2:11" x14ac:dyDescent="0.3">
      <c r="B3" s="1"/>
      <c r="C3" s="1"/>
      <c r="D3" s="1"/>
      <c r="E3" s="2"/>
      <c r="F3" s="2"/>
      <c r="G3" s="2"/>
      <c r="H3" s="2"/>
      <c r="I3" s="2"/>
      <c r="J3" s="2"/>
      <c r="K3" s="2"/>
    </row>
    <row r="4" spans="2:11" x14ac:dyDescent="0.3">
      <c r="B4" s="23" t="s">
        <v>0</v>
      </c>
      <c r="C4" s="20">
        <v>40</v>
      </c>
      <c r="D4" s="1"/>
      <c r="E4" s="2"/>
      <c r="F4" s="2"/>
      <c r="G4" s="2"/>
      <c r="H4" s="2"/>
      <c r="I4" s="2"/>
      <c r="J4" s="2"/>
      <c r="K4" s="2"/>
    </row>
    <row r="5" spans="2:11" x14ac:dyDescent="0.3">
      <c r="B5" s="23" t="s">
        <v>10</v>
      </c>
      <c r="C5" s="21">
        <v>200</v>
      </c>
      <c r="D5" s="1"/>
      <c r="E5" s="3"/>
      <c r="F5" s="4"/>
      <c r="G5" s="24" t="s">
        <v>1</v>
      </c>
      <c r="H5" s="24"/>
      <c r="I5" s="24"/>
      <c r="J5" s="24"/>
      <c r="K5" s="24"/>
    </row>
    <row r="6" spans="2:11" x14ac:dyDescent="0.3">
      <c r="B6" s="23" t="s">
        <v>12</v>
      </c>
      <c r="C6" s="22">
        <f>C4*C5</f>
        <v>8000</v>
      </c>
      <c r="D6" s="1"/>
      <c r="E6" s="5"/>
      <c r="F6" s="6">
        <f>C13</f>
        <v>7040</v>
      </c>
      <c r="G6" s="7">
        <v>10</v>
      </c>
      <c r="H6" s="7">
        <v>20</v>
      </c>
      <c r="I6" s="7">
        <v>30</v>
      </c>
      <c r="J6" s="7">
        <v>40</v>
      </c>
      <c r="K6" s="7">
        <v>50</v>
      </c>
    </row>
    <row r="7" spans="2:11" x14ac:dyDescent="0.3">
      <c r="B7" s="1"/>
      <c r="C7" s="8"/>
      <c r="D7" s="1"/>
      <c r="E7" s="25" t="s">
        <v>11</v>
      </c>
      <c r="F7" s="9">
        <v>150</v>
      </c>
      <c r="G7" s="9">
        <f t="dataTable" ref="G7:K16" dt2D="1" dtr="1" r1="C4" r2="C5"/>
        <v>540</v>
      </c>
      <c r="H7" s="9">
        <v>2040</v>
      </c>
      <c r="I7" s="9">
        <v>3540</v>
      </c>
      <c r="J7" s="9">
        <v>5040</v>
      </c>
      <c r="K7" s="9">
        <v>6540</v>
      </c>
    </row>
    <row r="8" spans="2:11" x14ac:dyDescent="0.3">
      <c r="B8" s="23" t="s">
        <v>2</v>
      </c>
      <c r="C8" s="21">
        <v>900</v>
      </c>
      <c r="D8" s="1"/>
      <c r="E8" s="26"/>
      <c r="F8" s="9">
        <v>160</v>
      </c>
      <c r="G8" s="9">
        <v>640</v>
      </c>
      <c r="H8" s="9">
        <v>2240</v>
      </c>
      <c r="I8" s="9">
        <v>3840</v>
      </c>
      <c r="J8" s="9">
        <v>5440</v>
      </c>
      <c r="K8" s="9">
        <v>7040</v>
      </c>
    </row>
    <row r="9" spans="2:11" x14ac:dyDescent="0.3">
      <c r="B9" s="23" t="s">
        <v>3</v>
      </c>
      <c r="C9" s="21">
        <f>C6-C8</f>
        <v>7100</v>
      </c>
      <c r="D9" s="1"/>
      <c r="E9" s="26"/>
      <c r="F9" s="9">
        <v>170</v>
      </c>
      <c r="G9" s="9">
        <v>740</v>
      </c>
      <c r="H9" s="9">
        <v>2440</v>
      </c>
      <c r="I9" s="9">
        <v>4140</v>
      </c>
      <c r="J9" s="9">
        <v>5840</v>
      </c>
      <c r="K9" s="9">
        <v>7540</v>
      </c>
    </row>
    <row r="10" spans="2:11" x14ac:dyDescent="0.3">
      <c r="B10" s="1"/>
      <c r="C10" s="8"/>
      <c r="D10" s="1"/>
      <c r="E10" s="26"/>
      <c r="F10" s="9">
        <v>180</v>
      </c>
      <c r="G10" s="9">
        <v>840</v>
      </c>
      <c r="H10" s="9">
        <v>2640</v>
      </c>
      <c r="I10" s="9">
        <v>4440</v>
      </c>
      <c r="J10" s="9">
        <v>6240</v>
      </c>
      <c r="K10" s="9">
        <v>8040</v>
      </c>
    </row>
    <row r="11" spans="2:11" x14ac:dyDescent="0.3">
      <c r="B11" s="23" t="s">
        <v>4</v>
      </c>
      <c r="C11" s="21">
        <v>50</v>
      </c>
      <c r="D11" s="1"/>
      <c r="E11" s="26"/>
      <c r="F11" s="9">
        <v>190</v>
      </c>
      <c r="G11" s="9">
        <v>940</v>
      </c>
      <c r="H11" s="9">
        <v>2840</v>
      </c>
      <c r="I11" s="9">
        <v>4740</v>
      </c>
      <c r="J11" s="9">
        <v>6640</v>
      </c>
      <c r="K11" s="9">
        <v>8540</v>
      </c>
    </row>
    <row r="12" spans="2:11" x14ac:dyDescent="0.3">
      <c r="B12" s="23" t="s">
        <v>5</v>
      </c>
      <c r="C12" s="21">
        <v>10</v>
      </c>
      <c r="D12" s="1"/>
      <c r="E12" s="26"/>
      <c r="F12" s="9">
        <v>200</v>
      </c>
      <c r="G12" s="9">
        <v>1040</v>
      </c>
      <c r="H12" s="9">
        <v>3040</v>
      </c>
      <c r="I12" s="9">
        <v>5040</v>
      </c>
      <c r="J12" s="9">
        <v>7040</v>
      </c>
      <c r="K12" s="9">
        <v>9040</v>
      </c>
    </row>
    <row r="13" spans="2:11" x14ac:dyDescent="0.3">
      <c r="B13" s="23" t="s">
        <v>13</v>
      </c>
      <c r="C13" s="21">
        <f>$C$9-$C$11-$C$12</f>
        <v>7040</v>
      </c>
      <c r="D13" s="1"/>
      <c r="E13" s="26"/>
      <c r="F13" s="9">
        <v>210</v>
      </c>
      <c r="G13" s="9">
        <v>1140</v>
      </c>
      <c r="H13" s="9">
        <v>3240</v>
      </c>
      <c r="I13" s="9">
        <v>5340</v>
      </c>
      <c r="J13" s="9">
        <v>7440</v>
      </c>
      <c r="K13" s="9">
        <v>9540</v>
      </c>
    </row>
    <row r="14" spans="2:11" x14ac:dyDescent="0.3">
      <c r="B14" s="2"/>
      <c r="C14" s="2"/>
      <c r="D14" s="2"/>
      <c r="E14" s="26"/>
      <c r="F14" s="9">
        <v>220</v>
      </c>
      <c r="G14" s="9">
        <v>1240</v>
      </c>
      <c r="H14" s="9">
        <v>3440</v>
      </c>
      <c r="I14" s="9">
        <v>5640</v>
      </c>
      <c r="J14" s="9">
        <v>7840</v>
      </c>
      <c r="K14" s="9">
        <v>10040</v>
      </c>
    </row>
    <row r="15" spans="2:11" x14ac:dyDescent="0.3">
      <c r="B15" s="2"/>
      <c r="C15" s="2"/>
      <c r="D15" s="2"/>
      <c r="E15" s="26"/>
      <c r="F15" s="9">
        <v>230</v>
      </c>
      <c r="G15" s="9">
        <v>1340</v>
      </c>
      <c r="H15" s="9">
        <v>3640</v>
      </c>
      <c r="I15" s="9">
        <v>5940</v>
      </c>
      <c r="J15" s="9">
        <v>8240</v>
      </c>
      <c r="K15" s="9">
        <v>10540</v>
      </c>
    </row>
    <row r="16" spans="2:11" x14ac:dyDescent="0.3">
      <c r="B16" s="2"/>
      <c r="C16" s="2"/>
      <c r="D16" s="2"/>
      <c r="E16" s="26"/>
      <c r="F16" s="9">
        <v>240</v>
      </c>
      <c r="G16" s="9">
        <v>1440</v>
      </c>
      <c r="H16" s="9">
        <v>3840</v>
      </c>
      <c r="I16" s="9">
        <v>6240</v>
      </c>
      <c r="J16" s="9">
        <v>8640</v>
      </c>
      <c r="K16" s="9">
        <v>11040</v>
      </c>
    </row>
  </sheetData>
  <mergeCells count="2">
    <mergeCell ref="G5:K5"/>
    <mergeCell ref="E7:E16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B2:H21"/>
  <sheetViews>
    <sheetView tabSelected="1" workbookViewId="0">
      <selection activeCell="C10" sqref="C10"/>
    </sheetView>
  </sheetViews>
  <sheetFormatPr defaultRowHeight="16.5" x14ac:dyDescent="0.3"/>
  <cols>
    <col min="1" max="1" width="2.75" customWidth="1"/>
    <col min="3" max="3" width="11.875" bestFit="1" customWidth="1"/>
  </cols>
  <sheetData>
    <row r="2" spans="2:8" x14ac:dyDescent="0.3">
      <c r="B2" s="10" t="s">
        <v>6</v>
      </c>
      <c r="C2" s="11">
        <v>10000000</v>
      </c>
      <c r="D2" s="12"/>
      <c r="E2" s="12"/>
      <c r="F2" s="12"/>
      <c r="G2" s="12"/>
      <c r="H2" s="12"/>
    </row>
    <row r="3" spans="2:8" x14ac:dyDescent="0.3">
      <c r="B3" s="10" t="s">
        <v>7</v>
      </c>
      <c r="C3" s="13">
        <v>0.08</v>
      </c>
      <c r="D3" s="12"/>
      <c r="E3" s="12"/>
      <c r="F3" s="12"/>
      <c r="G3" s="12"/>
      <c r="H3" s="12"/>
    </row>
    <row r="4" spans="2:8" x14ac:dyDescent="0.3">
      <c r="B4" s="10" t="s">
        <v>8</v>
      </c>
      <c r="C4" s="14">
        <v>2</v>
      </c>
      <c r="D4" s="12"/>
      <c r="E4" s="12"/>
      <c r="F4" s="12"/>
      <c r="G4" s="12"/>
      <c r="H4" s="12"/>
    </row>
    <row r="5" spans="2:8" x14ac:dyDescent="0.3">
      <c r="B5" s="10"/>
      <c r="C5" s="11"/>
      <c r="D5" s="12"/>
      <c r="E5" s="12"/>
      <c r="F5" s="12"/>
      <c r="G5" s="12"/>
      <c r="H5" s="12"/>
    </row>
    <row r="6" spans="2:8" x14ac:dyDescent="0.3">
      <c r="B6" s="10" t="s">
        <v>9</v>
      </c>
      <c r="C6" s="15">
        <f>PMT(C3/12,C4*12,-C2)</f>
        <v>452272.91456184152</v>
      </c>
      <c r="D6" s="12"/>
      <c r="E6" s="12"/>
      <c r="F6" s="12"/>
      <c r="G6" s="12"/>
      <c r="H6" s="12"/>
    </row>
    <row r="7" spans="2:8" x14ac:dyDescent="0.3">
      <c r="B7" s="12"/>
      <c r="C7" s="12"/>
      <c r="D7" s="12"/>
      <c r="E7" s="12"/>
      <c r="F7" s="12"/>
      <c r="G7" s="12"/>
      <c r="H7" s="12"/>
    </row>
    <row r="8" spans="2:8" x14ac:dyDescent="0.3">
      <c r="B8" s="12"/>
      <c r="C8" s="12"/>
      <c r="D8" s="12"/>
      <c r="E8" s="12"/>
      <c r="F8" s="12"/>
      <c r="G8" s="12"/>
      <c r="H8" s="12"/>
    </row>
    <row r="9" spans="2:8" x14ac:dyDescent="0.3">
      <c r="B9" s="12"/>
      <c r="C9" s="16"/>
      <c r="D9" s="27"/>
      <c r="E9" s="27"/>
      <c r="F9" s="27"/>
      <c r="G9" s="27"/>
      <c r="H9" s="27"/>
    </row>
    <row r="10" spans="2:8" x14ac:dyDescent="0.3">
      <c r="B10" s="12"/>
      <c r="C10" s="17"/>
      <c r="D10" s="18">
        <v>1</v>
      </c>
      <c r="E10" s="18">
        <v>2</v>
      </c>
      <c r="F10" s="18">
        <v>3</v>
      </c>
      <c r="G10" s="18">
        <v>4</v>
      </c>
      <c r="H10" s="18">
        <v>5</v>
      </c>
    </row>
    <row r="11" spans="2:8" x14ac:dyDescent="0.3">
      <c r="B11" s="28"/>
      <c r="C11" s="19">
        <v>0.04</v>
      </c>
      <c r="D11" s="11"/>
      <c r="E11" s="11"/>
      <c r="F11" s="11"/>
      <c r="G11" s="11"/>
      <c r="H11" s="11"/>
    </row>
    <row r="12" spans="2:8" x14ac:dyDescent="0.3">
      <c r="B12" s="28"/>
      <c r="C12" s="19">
        <v>4.4999999999999998E-2</v>
      </c>
      <c r="D12" s="11"/>
      <c r="E12" s="11"/>
      <c r="F12" s="11"/>
      <c r="G12" s="11"/>
      <c r="H12" s="11"/>
    </row>
    <row r="13" spans="2:8" x14ac:dyDescent="0.3">
      <c r="B13" s="28"/>
      <c r="C13" s="19">
        <v>0.05</v>
      </c>
      <c r="D13" s="11"/>
      <c r="E13" s="11"/>
      <c r="F13" s="11"/>
      <c r="G13" s="11"/>
      <c r="H13" s="11"/>
    </row>
    <row r="14" spans="2:8" x14ac:dyDescent="0.3">
      <c r="B14" s="28"/>
      <c r="C14" s="19">
        <v>5.5E-2</v>
      </c>
      <c r="D14" s="11"/>
      <c r="E14" s="11"/>
      <c r="F14" s="11"/>
      <c r="G14" s="11"/>
      <c r="H14" s="11"/>
    </row>
    <row r="15" spans="2:8" x14ac:dyDescent="0.3">
      <c r="B15" s="28"/>
      <c r="C15" s="19">
        <v>0.06</v>
      </c>
      <c r="D15" s="11"/>
      <c r="E15" s="11"/>
      <c r="F15" s="11"/>
      <c r="G15" s="11"/>
      <c r="H15" s="11"/>
    </row>
    <row r="16" spans="2:8" x14ac:dyDescent="0.3">
      <c r="B16" s="28"/>
      <c r="C16" s="19">
        <v>6.5000000000000002E-2</v>
      </c>
      <c r="D16" s="11"/>
      <c r="E16" s="11"/>
      <c r="F16" s="11"/>
      <c r="G16" s="11"/>
      <c r="H16" s="11"/>
    </row>
    <row r="17" spans="2:8" x14ac:dyDescent="0.3">
      <c r="B17" s="28"/>
      <c r="C17" s="19">
        <v>7.0000000000000007E-2</v>
      </c>
      <c r="D17" s="11"/>
      <c r="E17" s="11"/>
      <c r="F17" s="11"/>
      <c r="G17" s="11"/>
      <c r="H17" s="11"/>
    </row>
    <row r="18" spans="2:8" x14ac:dyDescent="0.3">
      <c r="B18" s="28"/>
      <c r="C18" s="19">
        <v>7.4999999999999997E-2</v>
      </c>
      <c r="D18" s="11"/>
      <c r="E18" s="11"/>
      <c r="F18" s="11"/>
      <c r="G18" s="11"/>
      <c r="H18" s="11"/>
    </row>
    <row r="19" spans="2:8" x14ac:dyDescent="0.3">
      <c r="B19" s="28"/>
      <c r="C19" s="19">
        <v>0.08</v>
      </c>
      <c r="D19" s="11"/>
      <c r="E19" s="11"/>
      <c r="F19" s="11"/>
      <c r="G19" s="11"/>
      <c r="H19" s="11"/>
    </row>
    <row r="20" spans="2:8" x14ac:dyDescent="0.3">
      <c r="B20" s="28"/>
      <c r="C20" s="19">
        <v>8.5000000000000006E-2</v>
      </c>
      <c r="D20" s="11"/>
      <c r="E20" s="11"/>
      <c r="F20" s="11"/>
      <c r="G20" s="11"/>
      <c r="H20" s="11"/>
    </row>
    <row r="21" spans="2:8" x14ac:dyDescent="0.3">
      <c r="B21" s="28"/>
      <c r="C21" s="19">
        <v>0.09</v>
      </c>
      <c r="D21" s="11"/>
      <c r="E21" s="11"/>
      <c r="F21" s="11"/>
      <c r="G21" s="11"/>
      <c r="H21" s="11"/>
    </row>
  </sheetData>
  <mergeCells count="2">
    <mergeCell ref="D9:H9"/>
    <mergeCell ref="B11:B21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데이터표1</vt:lpstr>
      <vt:lpstr>데이터표2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adminstrator</dc:creator>
  <cp:lastModifiedBy>k</cp:lastModifiedBy>
  <dcterms:created xsi:type="dcterms:W3CDTF">2016-04-05T10:10:25Z</dcterms:created>
  <dcterms:modified xsi:type="dcterms:W3CDTF">2020-03-09T04:36:01Z</dcterms:modified>
</cp:coreProperties>
</file>