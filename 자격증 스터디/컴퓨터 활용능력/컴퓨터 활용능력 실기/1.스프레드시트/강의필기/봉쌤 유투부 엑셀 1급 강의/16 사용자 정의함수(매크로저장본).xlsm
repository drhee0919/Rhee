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강의필기\봉쌤 유투부 엑셀 1급 강의\"/>
    </mc:Choice>
  </mc:AlternateContent>
  <xr:revisionPtr revIDLastSave="0" documentId="13_ncr:1_{A6310A85-972F-45E9-844C-E6D4025EA1BE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 사용자 정의함수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1" l="1"/>
  <c r="I8" i="1"/>
  <c r="I12" i="1"/>
  <c r="I16" i="1"/>
  <c r="I17" i="1"/>
  <c r="I15" i="1"/>
  <c r="I5" i="1"/>
  <c r="I9" i="1"/>
  <c r="I13" i="1"/>
  <c r="I6" i="1"/>
  <c r="I10" i="1"/>
  <c r="I14" i="1"/>
  <c r="I18" i="1"/>
  <c r="I7" i="1"/>
  <c r="I11" i="1"/>
  <c r="I3" i="1"/>
  <c r="H4" i="1"/>
  <c r="H8" i="1"/>
  <c r="H12" i="1"/>
  <c r="H16" i="1"/>
  <c r="H17" i="1"/>
  <c r="H11" i="1"/>
  <c r="H5" i="1"/>
  <c r="H9" i="1"/>
  <c r="H13" i="1"/>
  <c r="H6" i="1"/>
  <c r="H10" i="1"/>
  <c r="H14" i="1"/>
  <c r="H18" i="1"/>
  <c r="H7" i="1"/>
  <c r="H15" i="1"/>
  <c r="H3" i="1"/>
  <c r="G4" i="1"/>
  <c r="G17" i="1"/>
  <c r="G18" i="1"/>
  <c r="G12" i="1"/>
  <c r="G5" i="1"/>
  <c r="G6" i="1"/>
  <c r="G7" i="1"/>
  <c r="G16" i="1"/>
  <c r="G9" i="1"/>
  <c r="G10" i="1"/>
  <c r="G11" i="1"/>
  <c r="G8" i="1"/>
  <c r="G13" i="1"/>
  <c r="G14" i="1"/>
  <c r="G15" i="1"/>
  <c r="G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H2" authorId="0" shapeId="0" xr:uid="{E814ED70-CF92-4982-B33D-F79F4F666CB2}">
      <text>
        <r>
          <rPr>
            <sz val="9"/>
            <color indexed="81"/>
            <rFont val="돋움"/>
            <family val="3"/>
            <charset val="129"/>
          </rPr>
          <t xml:space="preserve">총점 40점을 기준으로 합격과 불합격을 나눌것 
총점 40점 이상 : 합격
총점 40점 미만 : 불합격
</t>
        </r>
      </text>
    </comment>
    <comment ref="I2" authorId="0" shapeId="0" xr:uid="{E6350492-094C-424E-96E2-44509887E162}">
      <text>
        <r>
          <rPr>
            <sz val="9"/>
            <color indexed="81"/>
            <rFont val="돋움"/>
            <family val="3"/>
            <charset val="129"/>
          </rPr>
          <t>오른쪽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평가지표를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바탕으로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 xml:space="preserve"> 
</t>
        </r>
      </text>
    </comment>
  </commentList>
</comments>
</file>

<file path=xl/sharedStrings.xml><?xml version="1.0" encoding="utf-8"?>
<sst xmlns="http://schemas.openxmlformats.org/spreadsheetml/2006/main" count="110" uniqueCount="81">
  <si>
    <t>과목명</t>
    <phoneticPr fontId="1" type="noConversion"/>
  </si>
  <si>
    <t>성명</t>
    <phoneticPr fontId="1" type="noConversion"/>
  </si>
  <si>
    <t>반이름</t>
    <phoneticPr fontId="1" type="noConversion"/>
  </si>
  <si>
    <t>출석</t>
    <phoneticPr fontId="1" type="noConversion"/>
  </si>
  <si>
    <t>중간</t>
    <phoneticPr fontId="1" type="noConversion"/>
  </si>
  <si>
    <t>엑셀</t>
    <phoneticPr fontId="1" type="noConversion"/>
  </si>
  <si>
    <t>보라돌이</t>
    <phoneticPr fontId="1" type="noConversion"/>
  </si>
  <si>
    <t>개나리반</t>
    <phoneticPr fontId="1" type="noConversion"/>
  </si>
  <si>
    <t>한글</t>
    <phoneticPr fontId="1" type="noConversion"/>
  </si>
  <si>
    <t>뚜비</t>
    <phoneticPr fontId="1" type="noConversion"/>
  </si>
  <si>
    <t>엑세스</t>
    <phoneticPr fontId="1" type="noConversion"/>
  </si>
  <si>
    <t>나나</t>
    <phoneticPr fontId="1" type="noConversion"/>
  </si>
  <si>
    <t>진달래반</t>
    <phoneticPr fontId="1" type="noConversion"/>
  </si>
  <si>
    <t>파워포인트</t>
    <phoneticPr fontId="1" type="noConversion"/>
  </si>
  <si>
    <t>뽀</t>
    <phoneticPr fontId="1" type="noConversion"/>
  </si>
  <si>
    <t>개나리반</t>
    <phoneticPr fontId="1" type="noConversion"/>
  </si>
  <si>
    <t>인터넷</t>
    <phoneticPr fontId="1" type="noConversion"/>
  </si>
  <si>
    <t>봉쌤</t>
    <phoneticPr fontId="1" type="noConversion"/>
  </si>
  <si>
    <t>진달래반</t>
    <phoneticPr fontId="1" type="noConversion"/>
  </si>
  <si>
    <t>엑셀</t>
    <phoneticPr fontId="1" type="noConversion"/>
  </si>
  <si>
    <t>최쌤</t>
    <phoneticPr fontId="1" type="noConversion"/>
  </si>
  <si>
    <t>진달래반</t>
    <phoneticPr fontId="1" type="noConversion"/>
  </si>
  <si>
    <t>한글</t>
    <phoneticPr fontId="1" type="noConversion"/>
  </si>
  <si>
    <t>김가</t>
    <phoneticPr fontId="1" type="noConversion"/>
  </si>
  <si>
    <t>진달래반</t>
    <phoneticPr fontId="1" type="noConversion"/>
  </si>
  <si>
    <t>엑세스</t>
    <phoneticPr fontId="1" type="noConversion"/>
  </si>
  <si>
    <t>이가</t>
    <phoneticPr fontId="1" type="noConversion"/>
  </si>
  <si>
    <t>개나리반</t>
    <phoneticPr fontId="1" type="noConversion"/>
  </si>
  <si>
    <t>홍가</t>
    <phoneticPr fontId="1" type="noConversion"/>
  </si>
  <si>
    <t>상가</t>
    <phoneticPr fontId="1" type="noConversion"/>
  </si>
  <si>
    <t>후가</t>
    <phoneticPr fontId="1" type="noConversion"/>
  </si>
  <si>
    <t>공가</t>
    <phoneticPr fontId="1" type="noConversion"/>
  </si>
  <si>
    <t>최가</t>
    <phoneticPr fontId="1" type="noConversion"/>
  </si>
  <si>
    <t>홍경민</t>
    <phoneticPr fontId="1" type="noConversion"/>
  </si>
  <si>
    <t>진달래반</t>
    <phoneticPr fontId="1" type="noConversion"/>
  </si>
  <si>
    <t>김미숙</t>
    <phoneticPr fontId="1" type="noConversion"/>
  </si>
  <si>
    <t>파워포인트</t>
    <phoneticPr fontId="1" type="noConversion"/>
  </si>
  <si>
    <t>이나영</t>
    <phoneticPr fontId="1" type="noConversion"/>
  </si>
  <si>
    <t>총점</t>
    <phoneticPr fontId="1" type="noConversion"/>
  </si>
  <si>
    <t>평가</t>
    <phoneticPr fontId="1" type="noConversion"/>
  </si>
  <si>
    <t>학점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</si>
  <si>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</si>
  <si>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</si>
  <si>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</si>
  <si>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</si>
  <si>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나머지</t>
    <phoneticPr fontId="1" type="noConversion"/>
  </si>
  <si>
    <t>F</t>
    <phoneticPr fontId="1" type="noConversion"/>
  </si>
  <si>
    <t>* 사용자 정의함수 *</t>
    <phoneticPr fontId="1" type="noConversion"/>
  </si>
  <si>
    <t xml:space="preserve">함수를 사용자가 직접 제작하여 사용하는 형태로써 VBA를 이용하여 </t>
    <phoneticPr fontId="1" type="noConversion"/>
  </si>
  <si>
    <t>함수를 생성함.</t>
    <phoneticPr fontId="1" type="noConversion"/>
  </si>
  <si>
    <t>&lt;생성절차&gt;</t>
    <phoneticPr fontId="1" type="noConversion"/>
  </si>
  <si>
    <t xml:space="preserve">2. 함수 구문을 작성 </t>
    <phoneticPr fontId="1" type="noConversion"/>
  </si>
  <si>
    <t>Public Function 함수명(변수명)</t>
    <phoneticPr fontId="1" type="noConversion"/>
  </si>
  <si>
    <t>End Function</t>
    <phoneticPr fontId="1" type="noConversion"/>
  </si>
  <si>
    <t>1. [개발도구] → VB → 삽입 → 모듈</t>
    <phoneticPr fontId="1" type="noConversion"/>
  </si>
  <si>
    <t>(개발도구가 없다면, [파일] → [옵션] → 리본사용자지정 에서 가져오기 )</t>
    <phoneticPr fontId="1" type="noConversion"/>
  </si>
  <si>
    <t xml:space="preserve">※ Visual Basic에서의 if문 </t>
    <phoneticPr fontId="1" type="noConversion"/>
  </si>
  <si>
    <t>=IF(조건, 참, 거짓)</t>
    <phoneticPr fontId="1" type="noConversion"/>
  </si>
  <si>
    <t>EXCEL:</t>
    <phoneticPr fontId="1" type="noConversion"/>
  </si>
  <si>
    <t>VBA:</t>
    <phoneticPr fontId="1" type="noConversion"/>
  </si>
  <si>
    <t>IF 조건 Then</t>
    <phoneticPr fontId="1" type="noConversion"/>
  </si>
  <si>
    <t>참값</t>
    <phoneticPr fontId="1" type="noConversion"/>
  </si>
  <si>
    <t>ELSE</t>
    <phoneticPr fontId="1" type="noConversion"/>
  </si>
  <si>
    <t>거짓값</t>
    <phoneticPr fontId="1" type="noConversion"/>
  </si>
  <si>
    <t>END IF</t>
    <phoneticPr fontId="1" type="noConversion"/>
  </si>
  <si>
    <t xml:space="preserve">쉼표가 아닌 </t>
    <phoneticPr fontId="1" type="noConversion"/>
  </si>
  <si>
    <t>공백으로 구분하므로</t>
    <phoneticPr fontId="1" type="noConversion"/>
  </si>
  <si>
    <t xml:space="preserve">공백을 무시하면 안된다. </t>
    <phoneticPr fontId="1" type="noConversion"/>
  </si>
  <si>
    <t xml:space="preserve"> </t>
    <phoneticPr fontId="1" type="noConversion"/>
  </si>
  <si>
    <t>※ Visual Basic에서의 중첩함수</t>
    <phoneticPr fontId="1" type="noConversion"/>
  </si>
  <si>
    <t>=IF(조건,참,IF(조건,참,거짓))</t>
    <phoneticPr fontId="1" type="noConversion"/>
  </si>
  <si>
    <t>IF 조건 THEN</t>
    <phoneticPr fontId="1" type="noConversion"/>
  </si>
  <si>
    <t>ELSE IF 조건 THEN</t>
    <phoneticPr fontId="1" type="noConversion"/>
  </si>
  <si>
    <t>참값 ….</t>
    <phoneticPr fontId="1" type="noConversion"/>
  </si>
  <si>
    <t>End IF</t>
    <phoneticPr fontId="1" type="noConversion"/>
  </si>
  <si>
    <t>※ Visual Basic에서 and와 or의 사용방식</t>
    <phoneticPr fontId="1" type="noConversion"/>
  </si>
  <si>
    <t>AND:</t>
    <phoneticPr fontId="1" type="noConversion"/>
  </si>
  <si>
    <t>IF 조건1 AND 조건2 THEN</t>
    <phoneticPr fontId="1" type="noConversion"/>
  </si>
  <si>
    <t xml:space="preserve">END IF </t>
    <phoneticPr fontId="1" type="noConversion"/>
  </si>
  <si>
    <t>OR:</t>
    <phoneticPr fontId="1" type="noConversion"/>
  </si>
  <si>
    <t>IF 조건1 OR 조건2 THEN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</si>
</sst>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2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quotePrefix="1">
      <alignment vertical="center"/>
    </xf>
    <xf numFmtId="0" fontId="0" fillId="0" borderId="0" xfId="0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O53"/>
  <sheetViews>
    <sheetView tabSelected="1" workbookViewId="0">
      <selection activeCell="L50" sqref="L50"/>
    </sheetView>
  </sheetViews>
  <sheetFormatPr defaultRowHeight="16.5" x14ac:dyDescent="0.3"/>
  <cols>
    <col min="2" max="2" width="11" bestFit="1" customWidth="1"/>
  </cols>
  <sheetData>
    <row r="2" spans="2:12" x14ac:dyDescent="0.3">
      <c r="B2" s="2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38</v>
      </c>
      <c r="H2" s="3" t="s">
        <v>39</v>
      </c>
      <c r="I2" s="3" t="s">
        <v>40</v>
      </c>
      <c r="K2">
        <v>45</v>
      </c>
      <c r="L2" s="5" t="s">
        <v>41</v>
      </c>
    </row>
    <row r="3" spans="2:12" x14ac:dyDescent="0.3">
      <c r="B3" s="1" t="s">
        <v>5</v>
      </c>
      <c r="C3" s="1" t="s">
        <v>6</v>
      </c>
      <c r="D3" s="1" t="s">
        <v>7</v>
      </c>
      <c r="E3" s="1">
        <v>20</v>
      </c>
      <c r="F3" s="1">
        <v>20</v>
      </c>
      <c r="G3" s="1">
        <f>fn총점(E3,F3)</f>
        <v>40</v>
      </c>
      <c r="H3" s="4" t="str">
        <f>fn평가(G3)</f>
        <v>합격</v>
      </c>
      <c r="I3" s="4" t="str">
        <f>fn학점(G3)</f>
        <v>B</v>
      </c>
      <c r="K3">
        <v>40</v>
      </c>
      <c r="L3" s="6" t="s">
        <v>42</v>
      </c>
    </row>
    <row r="4" spans="2:12" x14ac:dyDescent="0.3">
      <c r="B4" s="1" t="s">
        <v>8</v>
      </c>
      <c r="C4" s="1" t="s">
        <v>9</v>
      </c>
      <c r="D4" s="1" t="s">
        <v>7</v>
      </c>
      <c r="E4" s="1">
        <v>20</v>
      </c>
      <c r="F4" s="1">
        <v>18</v>
      </c>
      <c r="G4" s="1">
        <f t="shared" ref="G4:G18" si="0">fn총점(E4,F4)</f>
        <v>38</v>
      </c>
      <c r="H4" s="4" t="str">
        <f t="shared" ref="H4:H18" si="1">fn평가(G4)</f>
        <v>불합격</v>
      </c>
      <c r="I4" s="4" t="str">
        <f t="shared" ref="I4:I18" si="2">fn학점(G4)</f>
        <v>C</v>
      </c>
      <c r="K4">
        <v>35</v>
      </c>
      <c r="L4" s="6" t="s">
        <v>43</v>
      </c>
    </row>
    <row r="5" spans="2:12" x14ac:dyDescent="0.3">
      <c r="B5" s="1" t="s">
        <v>10</v>
      </c>
      <c r="C5" s="1" t="s">
        <v>11</v>
      </c>
      <c r="D5" s="1" t="s">
        <v>12</v>
      </c>
      <c r="E5" s="1">
        <v>19</v>
      </c>
      <c r="F5" s="1">
        <v>25</v>
      </c>
      <c r="G5" s="1">
        <f t="shared" si="0"/>
        <v>44</v>
      </c>
      <c r="H5" s="4" t="str">
        <f t="shared" si="1"/>
        <v>합격</v>
      </c>
      <c r="I5" s="4" t="str">
        <f t="shared" si="2"/>
        <v>B</v>
      </c>
      <c r="K5">
        <v>30</v>
      </c>
      <c r="L5" s="6" t="s">
        <v>44</v>
      </c>
    </row>
    <row r="6" spans="2:12" x14ac:dyDescent="0.3">
      <c r="B6" s="1" t="s">
        <v>13</v>
      </c>
      <c r="C6" s="1" t="s">
        <v>14</v>
      </c>
      <c r="D6" s="1" t="s">
        <v>15</v>
      </c>
      <c r="E6" s="1">
        <v>15</v>
      </c>
      <c r="F6" s="1">
        <v>26</v>
      </c>
      <c r="G6" s="1">
        <f t="shared" si="0"/>
        <v>41</v>
      </c>
      <c r="H6" s="4" t="str">
        <f t="shared" si="1"/>
        <v>합격</v>
      </c>
      <c r="I6" s="4" t="str">
        <f t="shared" si="2"/>
        <v>B</v>
      </c>
      <c r="K6" s="7" t="s">
        <v>45</v>
      </c>
      <c r="L6" s="6" t="s">
        <v>46</v>
      </c>
    </row>
    <row r="7" spans="2:12" x14ac:dyDescent="0.3">
      <c r="B7" s="1" t="s">
        <v>16</v>
      </c>
      <c r="C7" s="1" t="s">
        <v>17</v>
      </c>
      <c r="D7" s="1" t="s">
        <v>18</v>
      </c>
      <c r="E7" s="1">
        <v>13</v>
      </c>
      <c r="F7" s="1">
        <v>26</v>
      </c>
      <c r="G7" s="1">
        <f t="shared" si="0"/>
        <v>39</v>
      </c>
      <c r="H7" s="4" t="str">
        <f t="shared" si="1"/>
        <v>불합격</v>
      </c>
      <c r="I7" s="4" t="str">
        <f t="shared" si="2"/>
        <v>C</v>
      </c>
    </row>
    <row r="8" spans="2:12" x14ac:dyDescent="0.3">
      <c r="B8" s="1" t="s">
        <v>19</v>
      </c>
      <c r="C8" s="1" t="s">
        <v>20</v>
      </c>
      <c r="D8" s="1" t="s">
        <v>21</v>
      </c>
      <c r="E8" s="1">
        <v>20</v>
      </c>
      <c r="F8" s="1">
        <v>24</v>
      </c>
      <c r="G8" s="1">
        <f t="shared" si="0"/>
        <v>44</v>
      </c>
      <c r="H8" s="4" t="str">
        <f t="shared" si="1"/>
        <v>합격</v>
      </c>
      <c r="I8" s="4" t="str">
        <f t="shared" si="2"/>
        <v>B</v>
      </c>
    </row>
    <row r="9" spans="2:12" x14ac:dyDescent="0.3">
      <c r="B9" s="1" t="s">
        <v>22</v>
      </c>
      <c r="C9" s="1" t="s">
        <v>23</v>
      </c>
      <c r="D9" s="1" t="s">
        <v>24</v>
      </c>
      <c r="E9" s="1">
        <v>15</v>
      </c>
      <c r="F9" s="1">
        <v>22</v>
      </c>
      <c r="G9" s="1">
        <f t="shared" si="0"/>
        <v>37</v>
      </c>
      <c r="H9" s="4" t="str">
        <f t="shared" si="1"/>
        <v>불합격</v>
      </c>
      <c r="I9" s="4" t="str">
        <f t="shared" si="2"/>
        <v>C</v>
      </c>
      <c r="L9" t="s">
        <v>47</v>
      </c>
    </row>
    <row r="10" spans="2:12" x14ac:dyDescent="0.3">
      <c r="B10" s="1" t="s">
        <v>25</v>
      </c>
      <c r="C10" s="1" t="s">
        <v>26</v>
      </c>
      <c r="D10" s="1" t="s">
        <v>27</v>
      </c>
      <c r="E10" s="1">
        <v>17</v>
      </c>
      <c r="F10" s="1">
        <v>13</v>
      </c>
      <c r="G10" s="1">
        <f t="shared" si="0"/>
        <v>30</v>
      </c>
      <c r="H10" s="4" t="str">
        <f t="shared" si="1"/>
        <v>불합격</v>
      </c>
      <c r="I10" s="4" t="str">
        <f t="shared" si="2"/>
        <v>D</v>
      </c>
      <c r="J10" t="s">
        <v>68</v>
      </c>
      <c r="L10" t="s">
        <v>48</v>
      </c>
    </row>
    <row r="11" spans="2:12" x14ac:dyDescent="0.3">
      <c r="B11" s="1" t="s">
        <v>16</v>
      </c>
      <c r="C11" s="1" t="s">
        <v>28</v>
      </c>
      <c r="D11" s="1" t="s">
        <v>18</v>
      </c>
      <c r="E11" s="1">
        <v>16</v>
      </c>
      <c r="F11" s="1">
        <v>18</v>
      </c>
      <c r="G11" s="1">
        <f t="shared" si="0"/>
        <v>34</v>
      </c>
      <c r="H11" s="4" t="str">
        <f t="shared" si="1"/>
        <v>불합격</v>
      </c>
      <c r="I11" s="4" t="str">
        <f t="shared" si="2"/>
        <v>D</v>
      </c>
      <c r="L11" t="s">
        <v>49</v>
      </c>
    </row>
    <row r="12" spans="2:12" x14ac:dyDescent="0.3">
      <c r="B12" s="1" t="s">
        <v>16</v>
      </c>
      <c r="C12" s="1" t="s">
        <v>29</v>
      </c>
      <c r="D12" s="1" t="s">
        <v>18</v>
      </c>
      <c r="E12" s="1">
        <v>14</v>
      </c>
      <c r="F12" s="1">
        <v>12</v>
      </c>
      <c r="G12" s="1">
        <f t="shared" si="0"/>
        <v>26</v>
      </c>
      <c r="H12" s="4" t="str">
        <f t="shared" si="1"/>
        <v>불합격</v>
      </c>
      <c r="I12" s="4" t="str">
        <f t="shared" si="2"/>
        <v>F</v>
      </c>
      <c r="L12" t="s">
        <v>50</v>
      </c>
    </row>
    <row r="13" spans="2:12" x14ac:dyDescent="0.3">
      <c r="B13" s="1" t="s">
        <v>13</v>
      </c>
      <c r="C13" s="1" t="s">
        <v>30</v>
      </c>
      <c r="D13" s="1" t="s">
        <v>7</v>
      </c>
      <c r="E13" s="1">
        <v>17</v>
      </c>
      <c r="F13" s="1">
        <v>20</v>
      </c>
      <c r="G13" s="1">
        <f t="shared" si="0"/>
        <v>37</v>
      </c>
      <c r="H13" s="4" t="str">
        <f t="shared" si="1"/>
        <v>불합격</v>
      </c>
      <c r="I13" s="4" t="str">
        <f t="shared" si="2"/>
        <v>C</v>
      </c>
      <c r="L13" t="s">
        <v>54</v>
      </c>
    </row>
    <row r="14" spans="2:12" x14ac:dyDescent="0.3">
      <c r="B14" s="1" t="s">
        <v>22</v>
      </c>
      <c r="C14" s="1" t="s">
        <v>31</v>
      </c>
      <c r="D14" s="1" t="s">
        <v>7</v>
      </c>
      <c r="E14" s="1">
        <v>16</v>
      </c>
      <c r="F14" s="1">
        <v>17</v>
      </c>
      <c r="G14" s="1">
        <f t="shared" si="0"/>
        <v>33</v>
      </c>
      <c r="H14" s="4" t="str">
        <f t="shared" si="1"/>
        <v>불합격</v>
      </c>
      <c r="I14" s="4" t="str">
        <f t="shared" si="2"/>
        <v>D</v>
      </c>
      <c r="L14" t="s">
        <v>55</v>
      </c>
    </row>
    <row r="15" spans="2:12" x14ac:dyDescent="0.3">
      <c r="B15" s="1" t="s">
        <v>22</v>
      </c>
      <c r="C15" s="1" t="s">
        <v>32</v>
      </c>
      <c r="D15" s="1" t="s">
        <v>7</v>
      </c>
      <c r="E15" s="1">
        <v>18</v>
      </c>
      <c r="F15" s="1">
        <v>28</v>
      </c>
      <c r="G15" s="1">
        <f t="shared" si="0"/>
        <v>46</v>
      </c>
      <c r="H15" s="4" t="str">
        <f t="shared" si="1"/>
        <v>합격</v>
      </c>
      <c r="I15" s="4" t="str">
        <f t="shared" si="2"/>
        <v>A</v>
      </c>
    </row>
    <row r="16" spans="2:12" x14ac:dyDescent="0.3">
      <c r="B16" s="1" t="s">
        <v>5</v>
      </c>
      <c r="C16" s="1" t="s">
        <v>33</v>
      </c>
      <c r="D16" s="1" t="s">
        <v>34</v>
      </c>
      <c r="E16" s="1">
        <v>20</v>
      </c>
      <c r="F16" s="1">
        <v>30</v>
      </c>
      <c r="G16" s="1">
        <f t="shared" si="0"/>
        <v>50</v>
      </c>
      <c r="H16" s="4" t="str">
        <f t="shared" si="1"/>
        <v>합격</v>
      </c>
      <c r="I16" s="4" t="str">
        <f t="shared" si="2"/>
        <v>A</v>
      </c>
    </row>
    <row r="17" spans="2:15" x14ac:dyDescent="0.3">
      <c r="B17" s="1" t="s">
        <v>25</v>
      </c>
      <c r="C17" s="1" t="s">
        <v>35</v>
      </c>
      <c r="D17" s="1" t="s">
        <v>18</v>
      </c>
      <c r="E17" s="1">
        <v>13</v>
      </c>
      <c r="F17" s="1">
        <v>8</v>
      </c>
      <c r="G17" s="1">
        <f t="shared" si="0"/>
        <v>21</v>
      </c>
      <c r="H17" s="4" t="str">
        <f t="shared" si="1"/>
        <v>불합격</v>
      </c>
      <c r="I17" s="4" t="str">
        <f t="shared" si="2"/>
        <v>F</v>
      </c>
    </row>
    <row r="18" spans="2:15" x14ac:dyDescent="0.3">
      <c r="B18" s="1" t="s">
        <v>36</v>
      </c>
      <c r="C18" s="1" t="s">
        <v>37</v>
      </c>
      <c r="D18" s="1" t="s">
        <v>18</v>
      </c>
      <c r="E18" s="1">
        <v>15</v>
      </c>
      <c r="F18" s="1">
        <v>12</v>
      </c>
      <c r="G18" s="1">
        <f t="shared" si="0"/>
        <v>27</v>
      </c>
      <c r="H18" s="4" t="str">
        <f t="shared" si="1"/>
        <v>불합격</v>
      </c>
      <c r="I18" s="4" t="str">
        <f t="shared" si="2"/>
        <v>F</v>
      </c>
    </row>
    <row r="19" spans="2:15" x14ac:dyDescent="0.3">
      <c r="L19" t="s">
        <v>51</v>
      </c>
    </row>
    <row r="20" spans="2:15" x14ac:dyDescent="0.3">
      <c r="L20" t="s">
        <v>52</v>
      </c>
    </row>
    <row r="21" spans="2:15" x14ac:dyDescent="0.3">
      <c r="L21" t="s">
        <v>53</v>
      </c>
    </row>
    <row r="23" spans="2:15" x14ac:dyDescent="0.3">
      <c r="L23" t="s">
        <v>56</v>
      </c>
    </row>
    <row r="24" spans="2:15" x14ac:dyDescent="0.3">
      <c r="K24" s="7" t="s">
        <v>58</v>
      </c>
      <c r="L24" s="8" t="s">
        <v>57</v>
      </c>
    </row>
    <row r="25" spans="2:15" x14ac:dyDescent="0.3">
      <c r="K25" s="7" t="s">
        <v>59</v>
      </c>
      <c r="L25" s="9" t="s">
        <v>60</v>
      </c>
      <c r="M25" s="9"/>
      <c r="N25" s="9"/>
      <c r="O25" t="s">
        <v>65</v>
      </c>
    </row>
    <row r="26" spans="2:15" x14ac:dyDescent="0.3">
      <c r="L26" s="9" t="s">
        <v>61</v>
      </c>
      <c r="M26" s="9"/>
      <c r="N26" s="9"/>
      <c r="O26" t="s">
        <v>66</v>
      </c>
    </row>
    <row r="27" spans="2:15" x14ac:dyDescent="0.3">
      <c r="L27" s="9" t="s">
        <v>62</v>
      </c>
      <c r="M27" s="9"/>
      <c r="N27" s="9"/>
      <c r="O27" t="s">
        <v>67</v>
      </c>
    </row>
    <row r="28" spans="2:15" x14ac:dyDescent="0.3">
      <c r="L28" s="9" t="s">
        <v>63</v>
      </c>
      <c r="M28" s="9"/>
      <c r="N28" s="9"/>
    </row>
    <row r="29" spans="2:15" x14ac:dyDescent="0.3">
      <c r="L29" s="9" t="s">
        <v>64</v>
      </c>
      <c r="M29" s="9"/>
      <c r="N29" s="9"/>
    </row>
    <row r="31" spans="2:15" x14ac:dyDescent="0.3">
      <c r="L31" t="s">
        <v>69</v>
      </c>
    </row>
    <row r="32" spans="2:15" x14ac:dyDescent="0.3">
      <c r="K32" s="7" t="s">
        <v>58</v>
      </c>
      <c r="L32" s="8" t="s">
        <v>70</v>
      </c>
    </row>
    <row r="33" spans="11:14" x14ac:dyDescent="0.3">
      <c r="K33" s="7" t="s">
        <v>59</v>
      </c>
      <c r="L33" s="9" t="s">
        <v>71</v>
      </c>
      <c r="M33" s="9"/>
      <c r="N33" s="9"/>
    </row>
    <row r="34" spans="11:14" x14ac:dyDescent="0.3">
      <c r="L34" s="9" t="s">
        <v>61</v>
      </c>
      <c r="M34" s="9"/>
      <c r="N34" s="9"/>
    </row>
    <row r="35" spans="11:14" x14ac:dyDescent="0.3">
      <c r="L35" s="9" t="s">
        <v>72</v>
      </c>
      <c r="M35" s="9"/>
      <c r="N35" s="9"/>
    </row>
    <row r="36" spans="11:14" x14ac:dyDescent="0.3">
      <c r="L36" s="9" t="s">
        <v>61</v>
      </c>
      <c r="M36" s="9"/>
      <c r="N36" s="9"/>
    </row>
    <row r="37" spans="11:14" x14ac:dyDescent="0.3">
      <c r="L37" s="9" t="s">
        <v>72</v>
      </c>
      <c r="M37" s="9"/>
      <c r="N37" s="9"/>
    </row>
    <row r="38" spans="11:14" x14ac:dyDescent="0.3">
      <c r="L38" s="9" t="s">
        <v>73</v>
      </c>
      <c r="M38" s="9"/>
      <c r="N38" s="9"/>
    </row>
    <row r="39" spans="11:14" x14ac:dyDescent="0.3">
      <c r="L39" s="9" t="s">
        <v>62</v>
      </c>
      <c r="M39" s="9"/>
      <c r="N39" s="9"/>
    </row>
    <row r="40" spans="11:14" x14ac:dyDescent="0.3">
      <c r="L40" s="9" t="s">
        <v>63</v>
      </c>
      <c r="M40" s="9"/>
      <c r="N40" s="9"/>
    </row>
    <row r="41" spans="11:14" x14ac:dyDescent="0.3">
      <c r="L41" s="9" t="s">
        <v>74</v>
      </c>
      <c r="M41" s="9"/>
      <c r="N41" s="9"/>
    </row>
    <row r="43" spans="11:14" x14ac:dyDescent="0.3">
      <c r="L43" t="s">
        <v>75</v>
      </c>
    </row>
    <row r="44" spans="11:14" x14ac:dyDescent="0.3">
      <c r="K44" t="s">
        <v>76</v>
      </c>
      <c r="L44" t="s">
        <v>77</v>
      </c>
    </row>
    <row r="45" spans="11:14" x14ac:dyDescent="0.3">
      <c r="L45" t="s">
        <v>61</v>
      </c>
    </row>
    <row r="46" spans="11:14" x14ac:dyDescent="0.3">
      <c r="L46" t="s">
        <v>62</v>
      </c>
    </row>
    <row r="47" spans="11:14" x14ac:dyDescent="0.3">
      <c r="L47" t="s">
        <v>63</v>
      </c>
    </row>
    <row r="48" spans="11:14" x14ac:dyDescent="0.3">
      <c r="L48" t="s">
        <v>78</v>
      </c>
    </row>
    <row r="49" spans="11:12" x14ac:dyDescent="0.3">
      <c r="K49" t="s">
        <v>79</v>
      </c>
      <c r="L49" t="s">
        <v>80</v>
      </c>
    </row>
    <row r="50" spans="11:12" x14ac:dyDescent="0.3">
      <c r="L50" t="s">
        <v>61</v>
      </c>
    </row>
    <row r="51" spans="11:12" x14ac:dyDescent="0.3">
      <c r="L51" t="s">
        <v>62</v>
      </c>
    </row>
    <row r="52" spans="11:12" x14ac:dyDescent="0.3">
      <c r="L52" t="s">
        <v>63</v>
      </c>
    </row>
    <row r="53" spans="11:12" x14ac:dyDescent="0.3">
      <c r="L53" t="s">
        <v>78</v>
      </c>
    </row>
  </sheetData>
  <mergeCells count="14">
    <mergeCell ref="L39:N39"/>
    <mergeCell ref="L40:N40"/>
    <mergeCell ref="L41:N41"/>
    <mergeCell ref="L33:N33"/>
    <mergeCell ref="L34:N34"/>
    <mergeCell ref="L35:N35"/>
    <mergeCell ref="L36:N36"/>
    <mergeCell ref="L37:N37"/>
    <mergeCell ref="L38:N38"/>
    <mergeCell ref="L25:N25"/>
    <mergeCell ref="L26:N26"/>
    <mergeCell ref="L27:N27"/>
    <mergeCell ref="L28:N28"/>
    <mergeCell ref="L29:N29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 사용자 정의함수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GSND</dc:creator>
  <cp:lastModifiedBy>이혁재</cp:lastModifiedBy>
  <dcterms:created xsi:type="dcterms:W3CDTF">2019-12-02T06:01:13Z</dcterms:created>
  <dcterms:modified xsi:type="dcterms:W3CDTF">2020-09-11T14:58:50Z</dcterms:modified>
</cp:coreProperties>
</file>