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분석작업\"/>
    </mc:Choice>
  </mc:AlternateContent>
  <xr:revisionPtr revIDLastSave="0" documentId="13_ncr:1_{64330DB9-A497-4ABD-8861-5DF35BBA9AAE}" xr6:coauthVersionLast="45" xr6:coauthVersionMax="45" xr10:uidLastSave="{00000000-0000-0000-0000-000000000000}"/>
  <bookViews>
    <workbookView xWindow="-120" yWindow="-120" windowWidth="20730" windowHeight="11160" activeTab="5" xr2:uid="{00000000-000D-0000-FFFF-FFFF00000000}"/>
  </bookViews>
  <sheets>
    <sheet name="시나리오 요약" sheetId="7" r:id="rId1"/>
    <sheet name="무작정따라하기" sheetId="4" r:id="rId2"/>
    <sheet name="시나리오 요약 2" sheetId="9" r:id="rId3"/>
    <sheet name="기출01" sheetId="5" r:id="rId4"/>
    <sheet name="시나리오 요약 3" sheetId="10" r:id="rId5"/>
    <sheet name="기출02" sheetId="6" r:id="rId6"/>
  </sheets>
  <definedNames>
    <definedName name="A반품수량">무작정따라하기!$E$5</definedName>
    <definedName name="B반품수량">무작정따라하기!$E$6</definedName>
    <definedName name="C반품수량">무작정따라하기!$E$7</definedName>
    <definedName name="만기금액">기출01!$C$7</definedName>
    <definedName name="이율">기출01!$C$5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6" l="1"/>
  <c r="B8" i="6" s="1"/>
  <c r="B9" i="6" s="1"/>
  <c r="C7" i="5"/>
  <c r="F14" i="4"/>
  <c r="H14" i="4" s="1"/>
  <c r="G14" i="4" s="1"/>
  <c r="F13" i="4"/>
  <c r="H13" i="4" s="1"/>
  <c r="G13" i="4" s="1"/>
  <c r="F12" i="4"/>
  <c r="H12" i="4" s="1"/>
  <c r="G12" i="4" s="1"/>
  <c r="F11" i="4"/>
  <c r="H11" i="4" s="1"/>
  <c r="G11" i="4" s="1"/>
  <c r="F10" i="4"/>
  <c r="H10" i="4" s="1"/>
  <c r="G10" i="4" s="1"/>
  <c r="F9" i="4"/>
  <c r="H9" i="4" s="1"/>
  <c r="G9" i="4" s="1"/>
  <c r="F8" i="4"/>
  <c r="H8" i="4" s="1"/>
  <c r="G8" i="4" s="1"/>
  <c r="F7" i="4"/>
  <c r="H7" i="4" s="1"/>
  <c r="G7" i="4" s="1"/>
  <c r="F6" i="4"/>
  <c r="H6" i="4" s="1"/>
  <c r="G6" i="4" s="1"/>
  <c r="F5" i="4"/>
  <c r="H5" i="4" s="1"/>
  <c r="G5" i="4" l="1"/>
  <c r="H1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8D7A1325-EE33-482F-AFB8-F20D3D9B8DE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돋움"/>
            <family val="3"/>
            <charset val="129"/>
          </rPr>
          <t>시나리오는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상황과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예측하여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분석하는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.
(ex/ 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A,B,C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반품량이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개씩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매출액이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얼마나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증가할가</t>
        </r>
        <r>
          <rPr>
            <sz val="9"/>
            <color indexed="81"/>
            <rFont val="Tahoma"/>
            <family val="2"/>
          </rPr>
          <t>?)</t>
        </r>
      </text>
    </comment>
  </commentList>
</comments>
</file>

<file path=xl/sharedStrings.xml><?xml version="1.0" encoding="utf-8"?>
<sst xmlns="http://schemas.openxmlformats.org/spreadsheetml/2006/main" count="75" uniqueCount="57">
  <si>
    <t>번호</t>
    <phoneticPr fontId="3" type="noConversion"/>
  </si>
  <si>
    <t>물품명</t>
    <phoneticPr fontId="3" type="noConversion"/>
  </si>
  <si>
    <t>단가</t>
    <phoneticPr fontId="3" type="noConversion"/>
  </si>
  <si>
    <t>매출수량</t>
    <phoneticPr fontId="3" type="noConversion"/>
  </si>
  <si>
    <t>반품수량</t>
    <phoneticPr fontId="3" type="noConversion"/>
  </si>
  <si>
    <t>매출액</t>
    <phoneticPr fontId="3" type="noConversion"/>
  </si>
  <si>
    <t>수익율</t>
    <phoneticPr fontId="3" type="noConversion"/>
  </si>
  <si>
    <t>순수매출액</t>
    <phoneticPr fontId="3" type="noConversion"/>
  </si>
  <si>
    <t>A</t>
    <phoneticPr fontId="3" type="noConversion"/>
  </si>
  <si>
    <t>항목</t>
  </si>
  <si>
    <t>금액</t>
  </si>
  <si>
    <t>매출액</t>
  </si>
  <si>
    <t>제조원가</t>
  </si>
  <si>
    <t>영업이익</t>
  </si>
  <si>
    <t>이익률 계산</t>
    <phoneticPr fontId="3" type="noConversion"/>
  </si>
  <si>
    <t>버스요금</t>
    <phoneticPr fontId="3" type="noConversion"/>
  </si>
  <si>
    <t>이용고객</t>
    <phoneticPr fontId="3" type="noConversion"/>
  </si>
  <si>
    <t>영업이익률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</si>
  <si>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</si>
  <si>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</si>
  <si>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</si>
  <si>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</si>
  <si>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</si>
  <si>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</si>
  <si>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</si>
  <si>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</si>
  <si>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</si>
  <si>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매출액합계</t>
    <phoneticPr fontId="3" type="noConversion"/>
  </si>
  <si>
    <t xml:space="preserve">적금 만기 금액 </t>
    <phoneticPr fontId="3" type="noConversion"/>
  </si>
  <si>
    <t>매월적립액</t>
    <phoneticPr fontId="3" type="noConversion"/>
  </si>
  <si>
    <t>연이율</t>
    <phoneticPr fontId="3" type="noConversion"/>
  </si>
  <si>
    <t>적립기간(년)</t>
    <phoneticPr fontId="3" type="noConversion"/>
  </si>
  <si>
    <t>만기금액</t>
    <phoneticPr fontId="3" type="noConversion"/>
  </si>
  <si>
    <t>A반품수량</t>
  </si>
  <si>
    <t>B반품수량</t>
  </si>
  <si>
    <t>C반품수량</t>
  </si>
  <si>
    <t>$H$15</t>
  </si>
  <si>
    <t xml:space="preserve">수익률의 증가 </t>
  </si>
  <si>
    <t>만든 사람 이혁재 날짜 2020-08-02</t>
  </si>
  <si>
    <t>수익률의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</si>
  <si>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</si>
  <si>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</si>
  <si>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</si>
  <si>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</si>
  <si>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</si>
  <si>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</si>
  <si>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</si>
  <si>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이율10%</t>
  </si>
  <si>
    <t>이율11.5%</t>
  </si>
  <si>
    <t>이율</t>
  </si>
  <si>
    <t>만기금액</t>
  </si>
  <si>
    <t>$B$4</t>
  </si>
  <si>
    <t>$B$8</t>
  </si>
  <si>
    <t>$B$9</t>
  </si>
  <si>
    <t>200원인하</t>
  </si>
  <si>
    <t>만든 사람 이혁재 날짜 2020-08-03</t>
  </si>
  <si>
    <t>200원인상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</si>
</sst>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1" formatCode="_-* #,##0_-;\-* #,##0_-;_-* &quot;-&quot;_-;_-@_-"/>
    <numFmt numFmtId="176" formatCode="#,###,##0"/>
    <numFmt numFmtId="177" formatCode="&quot;₩&quot;#,##0"/>
    <numFmt numFmtId="178" formatCode="0.0%"/>
  </numFmts>
  <fonts count="22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indexed="9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6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0" fontId="4" fillId="0" borderId="0"/>
    <xf numFmtId="41" fontId="1" fillId="0" borderId="0" applyFont="0" applyFill="0" applyBorder="0" applyAlignment="0" applyProtection="0"/>
  </cellStyleXfs>
  <cellXfs count="51">
    <xf numFmtId="0" fontId="0" fillId="0" borderId="0" xfId="0">
      <alignment vertical="center"/>
    </xf>
    <xf numFmtId="9" fontId="5" fillId="0" borderId="5" xfId="2" applyFont="1" applyBorder="1" applyAlignment="1">
      <alignment horizontal="center"/>
    </xf>
    <xf numFmtId="9" fontId="5" fillId="0" borderId="7" xfId="2" applyFont="1" applyBorder="1" applyAlignment="1">
      <alignment horizontal="center"/>
    </xf>
    <xf numFmtId="0" fontId="6" fillId="0" borderId="0" xfId="1" applyFont="1"/>
    <xf numFmtId="0" fontId="7" fillId="2" borderId="1" xfId="1" applyFont="1" applyFill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8" fillId="0" borderId="3" xfId="1" applyFont="1" applyFill="1" applyBorder="1" applyAlignment="1">
      <alignment horizontal="center"/>
    </xf>
    <xf numFmtId="176" fontId="8" fillId="0" borderId="3" xfId="1" applyNumberFormat="1" applyFont="1" applyFill="1" applyBorder="1" applyAlignment="1">
      <alignment horizontal="right"/>
    </xf>
    <xf numFmtId="176" fontId="8" fillId="0" borderId="4" xfId="1" applyNumberFormat="1" applyFont="1" applyFill="1" applyBorder="1" applyAlignment="1">
      <alignment horizontal="right"/>
    </xf>
    <xf numFmtId="176" fontId="9" fillId="0" borderId="5" xfId="1" applyNumberFormat="1" applyFont="1" applyBorder="1" applyAlignment="1">
      <alignment horizontal="right"/>
    </xf>
    <xf numFmtId="176" fontId="9" fillId="0" borderId="6" xfId="1" applyNumberFormat="1" applyFont="1" applyBorder="1" applyAlignment="1">
      <alignment horizontal="right"/>
    </xf>
    <xf numFmtId="0" fontId="8" fillId="0" borderId="5" xfId="1" applyFont="1" applyFill="1" applyBorder="1" applyAlignment="1">
      <alignment horizontal="center"/>
    </xf>
    <xf numFmtId="176" fontId="8" fillId="0" borderId="5" xfId="1" applyNumberFormat="1" applyFont="1" applyFill="1" applyBorder="1" applyAlignment="1">
      <alignment horizontal="right"/>
    </xf>
    <xf numFmtId="176" fontId="9" fillId="0" borderId="7" xfId="1" applyNumberFormat="1" applyFont="1" applyBorder="1" applyAlignment="1">
      <alignment horizontal="right"/>
    </xf>
    <xf numFmtId="0" fontId="6" fillId="3" borderId="8" xfId="1" applyFont="1" applyFill="1" applyBorder="1" applyAlignment="1">
      <alignment horizontal="center"/>
    </xf>
    <xf numFmtId="176" fontId="6" fillId="3" borderId="9" xfId="1" applyNumberFormat="1" applyFont="1" applyFill="1" applyBorder="1"/>
    <xf numFmtId="0" fontId="6" fillId="3" borderId="5" xfId="1" applyNumberFormat="1" applyFont="1" applyFill="1" applyBorder="1" applyAlignment="1">
      <alignment horizontal="center"/>
    </xf>
    <xf numFmtId="0" fontId="6" fillId="0" borderId="5" xfId="1" applyNumberFormat="1" applyFont="1" applyBorder="1" applyAlignment="1">
      <alignment horizontal="distributed"/>
    </xf>
    <xf numFmtId="41" fontId="6" fillId="0" borderId="5" xfId="4" applyFont="1" applyBorder="1" applyAlignment="1"/>
    <xf numFmtId="178" fontId="6" fillId="0" borderId="5" xfId="2" applyNumberFormat="1" applyFont="1" applyBorder="1" applyAlignment="1"/>
    <xf numFmtId="0" fontId="11" fillId="0" borderId="0" xfId="3" applyFont="1"/>
    <xf numFmtId="0" fontId="11" fillId="0" borderId="0" xfId="3" applyFont="1" applyAlignment="1">
      <alignment vertical="center"/>
    </xf>
    <xf numFmtId="0" fontId="11" fillId="4" borderId="5" xfId="3" applyFont="1" applyFill="1" applyBorder="1" applyAlignment="1">
      <alignment vertical="center"/>
    </xf>
    <xf numFmtId="177" fontId="11" fillId="0" borderId="5" xfId="3" applyNumberFormat="1" applyFont="1" applyBorder="1" applyAlignment="1">
      <alignment vertical="center"/>
    </xf>
    <xf numFmtId="10" fontId="11" fillId="0" borderId="5" xfId="2" applyNumberFormat="1" applyFont="1" applyBorder="1" applyAlignment="1">
      <alignment vertical="center"/>
    </xf>
    <xf numFmtId="0" fontId="11" fillId="0" borderId="5" xfId="3" applyFont="1" applyBorder="1" applyAlignment="1">
      <alignment vertical="center"/>
    </xf>
    <xf numFmtId="6" fontId="11" fillId="0" borderId="5" xfId="3" applyNumberFormat="1" applyFont="1" applyBorder="1" applyAlignment="1">
      <alignment vertical="center"/>
    </xf>
    <xf numFmtId="0" fontId="0" fillId="0" borderId="0" xfId="0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176" fontId="0" fillId="0" borderId="13" xfId="0" applyNumberFormat="1" applyFill="1" applyBorder="1" applyAlignment="1">
      <alignment vertical="center"/>
    </xf>
    <xf numFmtId="0" fontId="17" fillId="6" borderId="14" xfId="0" applyFont="1" applyFill="1" applyBorder="1" applyAlignment="1">
      <alignment horizontal="left" vertical="center"/>
    </xf>
    <xf numFmtId="0" fontId="16" fillId="6" borderId="12" xfId="0" applyFont="1" applyFill="1" applyBorder="1" applyAlignment="1">
      <alignment horizontal="left" vertical="center"/>
    </xf>
    <xf numFmtId="0" fontId="17" fillId="6" borderId="12" xfId="0" applyFont="1" applyFill="1" applyBorder="1" applyAlignment="1">
      <alignment horizontal="left" vertical="center"/>
    </xf>
    <xf numFmtId="0" fontId="0" fillId="0" borderId="15" xfId="0" applyFill="1" applyBorder="1" applyAlignment="1">
      <alignment vertical="center"/>
    </xf>
    <xf numFmtId="0" fontId="18" fillId="7" borderId="0" xfId="0" applyFont="1" applyFill="1" applyBorder="1" applyAlignment="1">
      <alignment horizontal="left" vertical="center"/>
    </xf>
    <xf numFmtId="0" fontId="19" fillId="7" borderId="15" xfId="0" applyFont="1" applyFill="1" applyBorder="1" applyAlignment="1">
      <alignment horizontal="left" vertical="center"/>
    </xf>
    <xf numFmtId="0" fontId="20" fillId="7" borderId="15" xfId="0" applyFont="1" applyFill="1" applyBorder="1" applyAlignment="1">
      <alignment horizontal="left" vertical="center"/>
    </xf>
    <xf numFmtId="0" fontId="18" fillId="7" borderId="13" xfId="0" applyFont="1" applyFill="1" applyBorder="1" applyAlignment="1">
      <alignment horizontal="left" vertical="center"/>
    </xf>
    <xf numFmtId="0" fontId="16" fillId="6" borderId="12" xfId="0" applyFont="1" applyFill="1" applyBorder="1" applyAlignment="1">
      <alignment horizontal="right" vertical="center"/>
    </xf>
    <xf numFmtId="0" fontId="16" fillId="6" borderId="14" xfId="0" applyFont="1" applyFill="1" applyBorder="1" applyAlignment="1">
      <alignment horizontal="right" vertical="center"/>
    </xf>
    <xf numFmtId="176" fontId="0" fillId="8" borderId="0" xfId="0" applyNumberFormat="1" applyFill="1" applyBorder="1" applyAlignment="1">
      <alignment vertical="center"/>
    </xf>
    <xf numFmtId="0" fontId="21" fillId="0" borderId="0" xfId="0" applyFont="1" applyFill="1" applyBorder="1" applyAlignment="1">
      <alignment vertical="top" wrapText="1"/>
    </xf>
    <xf numFmtId="0" fontId="11" fillId="4" borderId="10" xfId="3" applyFont="1" applyFill="1" applyBorder="1" applyAlignment="1">
      <alignment horizontal="center" vertical="center"/>
    </xf>
    <xf numFmtId="0" fontId="11" fillId="4" borderId="11" xfId="3" applyFont="1" applyFill="1" applyBorder="1" applyAlignment="1">
      <alignment horizontal="center" vertical="center"/>
    </xf>
    <xf numFmtId="0" fontId="10" fillId="5" borderId="0" xfId="1" applyFont="1" applyFill="1" applyAlignment="1">
      <alignment horizontal="center"/>
    </xf>
    <xf numFmtId="10" fontId="0" fillId="0" borderId="0" xfId="0" applyNumberFormat="1" applyFill="1" applyBorder="1" applyAlignment="1">
      <alignment vertical="center"/>
    </xf>
    <xf numFmtId="6" fontId="0" fillId="0" borderId="13" xfId="0" applyNumberFormat="1" applyFill="1" applyBorder="1" applyAlignment="1">
      <alignment vertical="center"/>
    </xf>
    <xf numFmtId="10" fontId="0" fillId="8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178" fontId="0" fillId="0" borderId="13" xfId="0" applyNumberFormat="1" applyFill="1" applyBorder="1" applyAlignment="1">
      <alignment vertical="center"/>
    </xf>
    <xf numFmtId="41" fontId="0" fillId="8" borderId="0" xfId="0" applyNumberFormat="1" applyFill="1" applyBorder="1" applyAlignment="1">
      <alignment vertical="center"/>
    </xf>
  </cellXfs>
  <cellStyles count="5">
    <cellStyle name="백분율 2" xfId="2" xr:uid="{00000000-0005-0000-0000-000000000000}"/>
    <cellStyle name="쉼표 [0] 2" xfId="4" xr:uid="{00000000-0005-0000-0000-000001000000}"/>
    <cellStyle name="표준" xfId="0" builtinId="0"/>
    <cellStyle name="표준 2" xfId="1" xr:uid="{00000000-0005-0000-0000-000003000000}"/>
    <cellStyle name="표준_문제02(데이터)-김상수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123825</xdr:rowOff>
    </xdr:from>
    <xdr:to>
      <xdr:col>5</xdr:col>
      <xdr:colOff>361950</xdr:colOff>
      <xdr:row>2</xdr:row>
      <xdr:rowOff>0</xdr:rowOff>
    </xdr:to>
    <xdr:sp macro="" textlink="">
      <xdr:nvSpPr>
        <xdr:cNvPr id="2" name="Rectangle 1" descr="연간매출액&#10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238375" y="123825"/>
          <a:ext cx="2305050" cy="219075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ko-KR" altLang="en-US" sz="1100" b="1" i="0" u="none" strike="noStrike" baseline="0">
              <a:solidFill>
                <a:srgbClr val="FFFFFF"/>
              </a:solidFill>
              <a:latin typeface="돋움"/>
              <a:ea typeface="돋움"/>
            </a:rPr>
            <a:t>연 간 매 출 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D2C5D-9DBE-4D53-92F3-30F5276ACDDF}">
  <sheetPr>
    <outlinePr summaryBelow="0"/>
  </sheetPr>
  <dimension ref="B1:F13"/>
  <sheetViews>
    <sheetView showGridLines="0" workbookViewId="0"/>
  </sheetViews>
  <sheetFormatPr defaultRowHeight="16.5" outlineLevelRow="1" outlineLevelCol="1"/>
  <cols>
    <col min="3" max="3" width="10.25" bestFit="1" customWidth="1"/>
    <col min="4" max="6" width="14.375" bestFit="1" customWidth="1" outlineLevel="1"/>
  </cols>
  <sheetData>
    <row r="1" spans="2:6" ht="17.25" thickBot="1"/>
    <row r="2" spans="2:6">
      <c r="B2" s="31" t="s">
        <v>40</v>
      </c>
      <c r="C2" s="32"/>
      <c r="D2" s="38"/>
      <c r="E2" s="38"/>
      <c r="F2" s="38"/>
    </row>
    <row r="3" spans="2:6" collapsed="1">
      <c r="B3" s="30"/>
      <c r="C3" s="30"/>
      <c r="D3" s="39" t="s">
        <v>42</v>
      </c>
      <c r="E3" s="39" t="s">
        <v>37</v>
      </c>
      <c r="F3" s="39" t="s">
        <v>39</v>
      </c>
    </row>
    <row r="4" spans="2:6" ht="27" hidden="1" outlineLevel="1">
      <c r="B4" s="34"/>
      <c r="C4" s="34"/>
      <c r="D4" s="27"/>
      <c r="E4" s="41" t="s">
        <v>38</v>
      </c>
      <c r="F4" s="41" t="s">
        <v>38</v>
      </c>
    </row>
    <row r="5" spans="2:6">
      <c r="B5" s="35" t="s">
        <v>41</v>
      </c>
      <c r="C5" s="36"/>
      <c r="D5" s="33"/>
      <c r="E5" s="33"/>
      <c r="F5" s="33"/>
    </row>
    <row r="6" spans="2:6" outlineLevel="1">
      <c r="B6" s="34"/>
      <c r="C6" s="34" t="s">
        <v>33</v>
      </c>
      <c r="D6" s="28">
        <v>19</v>
      </c>
      <c r="E6" s="40">
        <v>9</v>
      </c>
      <c r="F6" s="40">
        <v>29</v>
      </c>
    </row>
    <row r="7" spans="2:6" outlineLevel="1">
      <c r="B7" s="34"/>
      <c r="C7" s="34" t="s">
        <v>34</v>
      </c>
      <c r="D7" s="28">
        <v>31</v>
      </c>
      <c r="E7" s="40">
        <v>21</v>
      </c>
      <c r="F7" s="40">
        <v>41</v>
      </c>
    </row>
    <row r="8" spans="2:6" outlineLevel="1">
      <c r="B8" s="34"/>
      <c r="C8" s="34" t="s">
        <v>35</v>
      </c>
      <c r="D8" s="28">
        <v>22</v>
      </c>
      <c r="E8" s="40">
        <v>12</v>
      </c>
      <c r="F8" s="40">
        <v>32</v>
      </c>
    </row>
    <row r="9" spans="2:6">
      <c r="B9" s="35" t="s">
        <v>43</v>
      </c>
      <c r="C9" s="36"/>
      <c r="D9" s="33"/>
      <c r="E9" s="33"/>
      <c r="F9" s="33"/>
    </row>
    <row r="10" spans="2:6" ht="17.25" outlineLevel="1" thickBot="1">
      <c r="B10" s="37"/>
      <c r="C10" s="37" t="s">
        <v>36</v>
      </c>
      <c r="D10" s="29">
        <v>6693900</v>
      </c>
      <c r="E10" s="29">
        <v>6796900</v>
      </c>
      <c r="F10" s="29">
        <v>6590900</v>
      </c>
    </row>
    <row r="11" spans="2:6">
      <c r="B11" t="s">
        <v>44</v>
      </c>
    </row>
    <row r="12" spans="2:6">
      <c r="B12" t="s">
        <v>45</v>
      </c>
    </row>
    <row r="13" spans="2:6">
      <c r="B13" t="s">
        <v>46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5" sqref="G5 H15"/>
    </sheetView>
  </sheetViews>
  <sheetFormatPr defaultRowHeight="16.5"/>
  <cols>
    <col min="1" max="1" width="9.875" style="3" customWidth="1"/>
    <col min="2" max="2" width="12.125" style="3" customWidth="1"/>
    <col min="3" max="3" width="11" style="3" bestFit="1" customWidth="1"/>
    <col min="4" max="4" width="9" style="3"/>
    <col min="5" max="5" width="11.875" style="3" customWidth="1"/>
    <col min="6" max="6" width="13.375" style="3" customWidth="1"/>
    <col min="7" max="7" width="11.625" style="3" customWidth="1"/>
    <col min="8" max="8" width="13.875" style="3" customWidth="1"/>
    <col min="9" max="9" width="5" style="3" customWidth="1"/>
    <col min="10" max="16384" width="9" style="3"/>
  </cols>
  <sheetData>
    <row r="1" spans="1:8"/>
    <row r="3" spans="1:8" ht="17.25" thickBot="1"/>
    <row r="4" spans="1:8" ht="17.25" thickBot="1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5" t="s">
        <v>7</v>
      </c>
    </row>
    <row r="5" spans="1:8">
      <c r="A5" s="6">
        <v>2657</v>
      </c>
      <c r="B5" s="6" t="s">
        <v>8</v>
      </c>
      <c r="C5" s="7">
        <v>2600</v>
      </c>
      <c r="D5" s="7">
        <v>240</v>
      </c>
      <c r="E5" s="8">
        <v>19</v>
      </c>
      <c r="F5" s="9">
        <f>C5*D5</f>
        <v>624000</v>
      </c>
      <c r="G5" s="1">
        <f>H5/F5</f>
        <v>0.92083333333333328</v>
      </c>
      <c r="H5" s="10">
        <f>F5-(C5*E5)</f>
        <v>574600</v>
      </c>
    </row>
    <row r="6" spans="1:8">
      <c r="A6" s="11">
        <v>4284</v>
      </c>
      <c r="B6" s="11" t="s">
        <v>18</v>
      </c>
      <c r="C6" s="12">
        <v>3500</v>
      </c>
      <c r="D6" s="12">
        <v>154</v>
      </c>
      <c r="E6" s="12">
        <v>31</v>
      </c>
      <c r="F6" s="9">
        <f t="shared" ref="F6:F14" si="0">C6*D6</f>
        <v>539000</v>
      </c>
      <c r="G6" s="1">
        <f>H6/F6</f>
        <v>0.79870129870129869</v>
      </c>
      <c r="H6" s="9">
        <f>F6-(C6*E6)</f>
        <v>430500</v>
      </c>
    </row>
    <row r="7" spans="1:8">
      <c r="A7" s="11">
        <v>3541</v>
      </c>
      <c r="B7" s="11" t="s">
        <v>19</v>
      </c>
      <c r="C7" s="12">
        <v>4200</v>
      </c>
      <c r="D7" s="12">
        <v>209</v>
      </c>
      <c r="E7" s="12">
        <v>22</v>
      </c>
      <c r="F7" s="9">
        <f t="shared" si="0"/>
        <v>877800</v>
      </c>
      <c r="G7" s="1">
        <f t="shared" ref="G7:G14" si="1">H7/F7</f>
        <v>0.89473684210526316</v>
      </c>
      <c r="H7" s="9">
        <f t="shared" ref="H7:H14" si="2">F7-(C7*E7)</f>
        <v>785400</v>
      </c>
    </row>
    <row r="8" spans="1:8">
      <c r="A8" s="11">
        <v>2875</v>
      </c>
      <c r="B8" s="11" t="s">
        <v>20</v>
      </c>
      <c r="C8" s="12">
        <v>1800</v>
      </c>
      <c r="D8" s="12">
        <v>452</v>
      </c>
      <c r="E8" s="12">
        <v>26</v>
      </c>
      <c r="F8" s="9">
        <f t="shared" si="0"/>
        <v>813600</v>
      </c>
      <c r="G8" s="1">
        <f t="shared" si="1"/>
        <v>0.94247787610619471</v>
      </c>
      <c r="H8" s="9">
        <f t="shared" si="2"/>
        <v>766800</v>
      </c>
    </row>
    <row r="9" spans="1:8">
      <c r="A9" s="11">
        <v>3016</v>
      </c>
      <c r="B9" s="11" t="s">
        <v>21</v>
      </c>
      <c r="C9" s="12">
        <v>2200</v>
      </c>
      <c r="D9" s="12">
        <v>321</v>
      </c>
      <c r="E9" s="12">
        <v>13</v>
      </c>
      <c r="F9" s="9">
        <f t="shared" si="0"/>
        <v>706200</v>
      </c>
      <c r="G9" s="1">
        <f t="shared" si="1"/>
        <v>0.95950155763239875</v>
      </c>
      <c r="H9" s="9">
        <f t="shared" si="2"/>
        <v>677600</v>
      </c>
    </row>
    <row r="10" spans="1:8">
      <c r="A10" s="11">
        <v>4250</v>
      </c>
      <c r="B10" s="11" t="s">
        <v>22</v>
      </c>
      <c r="C10" s="12">
        <v>5400</v>
      </c>
      <c r="D10" s="12">
        <v>120</v>
      </c>
      <c r="E10" s="12">
        <v>48</v>
      </c>
      <c r="F10" s="9">
        <f t="shared" si="0"/>
        <v>648000</v>
      </c>
      <c r="G10" s="1">
        <f t="shared" si="1"/>
        <v>0.6</v>
      </c>
      <c r="H10" s="9">
        <f t="shared" si="2"/>
        <v>388800</v>
      </c>
    </row>
    <row r="11" spans="1:8">
      <c r="A11" s="11">
        <v>2586</v>
      </c>
      <c r="B11" s="11" t="s">
        <v>23</v>
      </c>
      <c r="C11" s="12">
        <v>2800</v>
      </c>
      <c r="D11" s="12">
        <v>410</v>
      </c>
      <c r="E11" s="12">
        <v>35</v>
      </c>
      <c r="F11" s="9">
        <f t="shared" si="0"/>
        <v>1148000</v>
      </c>
      <c r="G11" s="1">
        <f t="shared" si="1"/>
        <v>0.91463414634146345</v>
      </c>
      <c r="H11" s="9">
        <f t="shared" si="2"/>
        <v>1050000</v>
      </c>
    </row>
    <row r="12" spans="1:8">
      <c r="A12" s="11">
        <v>1462</v>
      </c>
      <c r="B12" s="11" t="s">
        <v>24</v>
      </c>
      <c r="C12" s="12">
        <v>3600</v>
      </c>
      <c r="D12" s="12">
        <v>215</v>
      </c>
      <c r="E12" s="12">
        <v>106</v>
      </c>
      <c r="F12" s="9">
        <f t="shared" si="0"/>
        <v>774000</v>
      </c>
      <c r="G12" s="1">
        <f t="shared" si="1"/>
        <v>0.50697674418604655</v>
      </c>
      <c r="H12" s="9">
        <f t="shared" si="2"/>
        <v>392400</v>
      </c>
    </row>
    <row r="13" spans="1:8">
      <c r="A13" s="11">
        <v>2253</v>
      </c>
      <c r="B13" s="11" t="s">
        <v>25</v>
      </c>
      <c r="C13" s="12">
        <v>4500</v>
      </c>
      <c r="D13" s="12">
        <v>325</v>
      </c>
      <c r="E13" s="12">
        <v>87</v>
      </c>
      <c r="F13" s="9">
        <f t="shared" si="0"/>
        <v>1462500</v>
      </c>
      <c r="G13" s="1">
        <f t="shared" si="1"/>
        <v>0.73230769230769233</v>
      </c>
      <c r="H13" s="9">
        <f t="shared" si="2"/>
        <v>1071000</v>
      </c>
    </row>
    <row r="14" spans="1:8" ht="17.25" thickBot="1">
      <c r="A14" s="11">
        <v>2028</v>
      </c>
      <c r="B14" s="11" t="s">
        <v>26</v>
      </c>
      <c r="C14" s="12">
        <v>3200</v>
      </c>
      <c r="D14" s="12">
        <v>248</v>
      </c>
      <c r="E14" s="12">
        <v>74</v>
      </c>
      <c r="F14" s="9">
        <f t="shared" si="0"/>
        <v>793600</v>
      </c>
      <c r="G14" s="2">
        <f t="shared" si="1"/>
        <v>0.70161290322580649</v>
      </c>
      <c r="H14" s="13">
        <f t="shared" si="2"/>
        <v>556800</v>
      </c>
    </row>
    <row r="15" spans="1:8" ht="17.25" thickBot="1">
      <c r="G15" s="14" t="s">
        <v>27</v>
      </c>
      <c r="H15" s="15">
        <f>SUM(H5:H14)</f>
        <v>6693900</v>
      </c>
    </row>
  </sheetData>
  <scenarios current="0" sqref="H15">
    <scenario name="수익률의 증가 " locked="1" count="3" user="이혁재" comment="만든 사람 이혁재 날짜 2020-08-02">
      <inputCells r="E5" val="9" numFmtId="176"/>
      <inputCells r="E6" val="21" numFmtId="176"/>
      <inputCells r="E7" val="12" numFmtId="176"/>
    </scenario>
    <scenario name="수익률의 감소" locked="1" count="3" user="이혁재" comment="만든 사람 이혁재 날짜 2020-08-02">
      <inputCells r="E5" val="29" numFmtId="176"/>
      <inputCells r="E6" val="41" numFmtId="176"/>
      <inputCells r="E7" val="32" numFmtId="176"/>
    </scenario>
  </scenarios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91474-4934-4641-93E4-BD8A25A0746F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4" max="6" width="10.625" bestFit="1" customWidth="1" outlineLevel="1"/>
  </cols>
  <sheetData>
    <row r="1" spans="2:6" ht="17.25" thickBot="1"/>
    <row r="2" spans="2:6">
      <c r="B2" s="31" t="s">
        <v>40</v>
      </c>
      <c r="C2" s="32"/>
      <c r="D2" s="38"/>
      <c r="E2" s="38"/>
      <c r="F2" s="38"/>
    </row>
    <row r="3" spans="2:6" collapsed="1">
      <c r="B3" s="30"/>
      <c r="C3" s="30"/>
      <c r="D3" s="39" t="s">
        <v>42</v>
      </c>
      <c r="E3" s="39" t="s">
        <v>47</v>
      </c>
      <c r="F3" s="39" t="s">
        <v>48</v>
      </c>
    </row>
    <row r="4" spans="2:6" ht="40.5" hidden="1" outlineLevel="1">
      <c r="B4" s="34"/>
      <c r="C4" s="34"/>
      <c r="D4" s="27"/>
      <c r="E4" s="41" t="s">
        <v>38</v>
      </c>
      <c r="F4" s="41" t="s">
        <v>38</v>
      </c>
    </row>
    <row r="5" spans="2:6">
      <c r="B5" s="35" t="s">
        <v>41</v>
      </c>
      <c r="C5" s="36"/>
      <c r="D5" s="33"/>
      <c r="E5" s="33"/>
      <c r="F5" s="33"/>
    </row>
    <row r="6" spans="2:6" outlineLevel="1">
      <c r="B6" s="34"/>
      <c r="C6" s="34" t="s">
        <v>49</v>
      </c>
      <c r="D6" s="45">
        <v>0.1075</v>
      </c>
      <c r="E6" s="47">
        <v>0.1</v>
      </c>
      <c r="F6" s="47">
        <v>0.115</v>
      </c>
    </row>
    <row r="7" spans="2:6">
      <c r="B7" s="35" t="s">
        <v>43</v>
      </c>
      <c r="C7" s="36"/>
      <c r="D7" s="33"/>
      <c r="E7" s="33"/>
      <c r="F7" s="33"/>
    </row>
    <row r="8" spans="2:6" ht="17.25" outlineLevel="1" thickBot="1">
      <c r="B8" s="37"/>
      <c r="C8" s="37" t="s">
        <v>50</v>
      </c>
      <c r="D8" s="46">
        <v>6660712.6162617505</v>
      </c>
      <c r="E8" s="46">
        <v>6611728.8412667699</v>
      </c>
      <c r="F8" s="46">
        <v>6710151.6766047599</v>
      </c>
    </row>
    <row r="9" spans="2:6">
      <c r="B9" t="s">
        <v>44</v>
      </c>
    </row>
    <row r="10" spans="2:6">
      <c r="B10" t="s">
        <v>45</v>
      </c>
    </row>
    <row r="11" spans="2:6">
      <c r="B11" t="s">
        <v>46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8"/>
  <sheetViews>
    <sheetView workbookViewId="0">
      <selection activeCell="C7" sqref="C7"/>
    </sheetView>
  </sheetViews>
  <sheetFormatPr defaultRowHeight="16.5"/>
  <cols>
    <col min="1" max="1" width="9" style="3"/>
    <col min="2" max="2" width="10.625" style="3" bestFit="1" customWidth="1"/>
    <col min="3" max="3" width="10.25" style="3" bestFit="1" customWidth="1"/>
    <col min="4" max="5" width="9" style="3"/>
    <col min="6" max="6" width="11.125" style="3" bestFit="1" customWidth="1"/>
    <col min="7" max="16384" width="9" style="3"/>
  </cols>
  <sheetData>
    <row r="1" spans="1:4">
      <c r="A1" s="20"/>
      <c r="B1" s="20"/>
      <c r="C1" s="20"/>
      <c r="D1" s="20"/>
    </row>
    <row r="2" spans="1:4">
      <c r="A2" s="20"/>
      <c r="B2" s="42" t="s">
        <v>28</v>
      </c>
      <c r="C2" s="43"/>
      <c r="D2" s="20"/>
    </row>
    <row r="3" spans="1:4">
      <c r="A3" s="20"/>
      <c r="B3" s="21"/>
      <c r="C3" s="21"/>
      <c r="D3" s="20"/>
    </row>
    <row r="4" spans="1:4">
      <c r="A4" s="20"/>
      <c r="B4" s="22" t="s">
        <v>29</v>
      </c>
      <c r="C4" s="23">
        <v>250000</v>
      </c>
      <c r="D4" s="20"/>
    </row>
    <row r="5" spans="1:4">
      <c r="A5" s="20"/>
      <c r="B5" s="22" t="s">
        <v>30</v>
      </c>
      <c r="C5" s="24">
        <v>0.1075</v>
      </c>
      <c r="D5" s="20"/>
    </row>
    <row r="6" spans="1:4">
      <c r="A6" s="20"/>
      <c r="B6" s="22" t="s">
        <v>31</v>
      </c>
      <c r="C6" s="25">
        <v>2</v>
      </c>
      <c r="D6" s="20"/>
    </row>
    <row r="7" spans="1:4">
      <c r="A7" s="20"/>
      <c r="B7" s="22" t="s">
        <v>32</v>
      </c>
      <c r="C7" s="26">
        <f>FV($C$5/12,$C$6*12,-$C$4,0)</f>
        <v>6660712.6162617523</v>
      </c>
      <c r="D7" s="20"/>
    </row>
    <row r="8" spans="1:4">
      <c r="A8" s="20"/>
      <c r="B8" s="20"/>
      <c r="C8" s="20"/>
      <c r="D8" s="20"/>
    </row>
  </sheetData>
  <scenarios current="0" sqref="C7">
    <scenario name="이율10%" locked="1" count="1" user="이혁재" comment="만든 사람 이혁재 날짜 2020-08-02">
      <inputCells r="C5" val="0.1" numFmtId="10"/>
    </scenario>
    <scenario name="이율11.5%" locked="1" count="1" user="이혁재" comment="만든 사람 이혁재 날짜 2020-08-02">
      <inputCells r="C5" val="0.115" numFmtId="10"/>
    </scenario>
  </scenarios>
  <mergeCells count="1">
    <mergeCell ref="B2:C2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D6A7-31CD-4BD4-B2E2-B3E87E46984C}">
  <sheetPr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5.625" bestFit="1" customWidth="1"/>
    <col min="4" max="6" width="11.875" bestFit="1" customWidth="1" outlineLevel="1"/>
  </cols>
  <sheetData>
    <row r="1" spans="2:6" ht="17.25" thickBot="1"/>
    <row r="2" spans="2:6">
      <c r="B2" s="31" t="s">
        <v>40</v>
      </c>
      <c r="C2" s="32"/>
      <c r="D2" s="38"/>
      <c r="E2" s="38"/>
      <c r="F2" s="38"/>
    </row>
    <row r="3" spans="2:6" collapsed="1">
      <c r="B3" s="30"/>
      <c r="C3" s="30"/>
      <c r="D3" s="39" t="s">
        <v>42</v>
      </c>
      <c r="E3" s="39" t="s">
        <v>54</v>
      </c>
      <c r="F3" s="39" t="s">
        <v>56</v>
      </c>
    </row>
    <row r="4" spans="2:6" ht="40.5" hidden="1" outlineLevel="1">
      <c r="B4" s="34"/>
      <c r="C4" s="34"/>
      <c r="D4" s="27"/>
      <c r="E4" s="41" t="s">
        <v>55</v>
      </c>
      <c r="F4" s="41" t="s">
        <v>55</v>
      </c>
    </row>
    <row r="5" spans="2:6">
      <c r="B5" s="35" t="s">
        <v>41</v>
      </c>
      <c r="C5" s="36"/>
      <c r="D5" s="33"/>
      <c r="E5" s="33"/>
      <c r="F5" s="33"/>
    </row>
    <row r="6" spans="2:6" outlineLevel="1">
      <c r="B6" s="34"/>
      <c r="C6" s="34" t="s">
        <v>51</v>
      </c>
      <c r="D6" s="48">
        <v>1500</v>
      </c>
      <c r="E6" s="50">
        <v>1300</v>
      </c>
      <c r="F6" s="50">
        <v>1700</v>
      </c>
    </row>
    <row r="7" spans="2:6">
      <c r="B7" s="35" t="s">
        <v>43</v>
      </c>
      <c r="C7" s="36"/>
      <c r="D7" s="33"/>
      <c r="E7" s="33"/>
      <c r="F7" s="33"/>
    </row>
    <row r="8" spans="2:6" outlineLevel="1">
      <c r="B8" s="34"/>
      <c r="C8" s="34" t="s">
        <v>52</v>
      </c>
      <c r="D8" s="48">
        <v>19539000</v>
      </c>
      <c r="E8" s="48">
        <v>9139000</v>
      </c>
      <c r="F8" s="48">
        <v>29939000</v>
      </c>
    </row>
    <row r="9" spans="2:6" ht="17.25" outlineLevel="1" thickBot="1">
      <c r="B9" s="37"/>
      <c r="C9" s="37" t="s">
        <v>53</v>
      </c>
      <c r="D9" s="49">
        <v>0.2505</v>
      </c>
      <c r="E9" s="49">
        <v>0.135192307692308</v>
      </c>
      <c r="F9" s="49">
        <v>0.33867647058823502</v>
      </c>
    </row>
    <row r="10" spans="2:6">
      <c r="B10" t="s">
        <v>44</v>
      </c>
    </row>
    <row r="11" spans="2:6">
      <c r="B11" t="s">
        <v>45</v>
      </c>
    </row>
    <row r="12" spans="2:6">
      <c r="B12" t="s">
        <v>46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9"/>
  <sheetViews>
    <sheetView tabSelected="1" workbookViewId="0">
      <selection activeCell="B9" sqref="B9"/>
    </sheetView>
  </sheetViews>
  <sheetFormatPr defaultRowHeight="16.5"/>
  <cols>
    <col min="1" max="1" width="11.5" style="3" customWidth="1"/>
    <col min="2" max="2" width="16" style="3" customWidth="1"/>
    <col min="3" max="16384" width="9" style="3"/>
  </cols>
  <sheetData>
    <row r="1" spans="1:2" ht="20.25">
      <c r="A1" s="44" t="s">
        <v>14</v>
      </c>
      <c r="B1" s="44"/>
    </row>
    <row r="3" spans="1:2">
      <c r="A3" s="16" t="s">
        <v>9</v>
      </c>
      <c r="B3" s="16" t="s">
        <v>10</v>
      </c>
    </row>
    <row r="4" spans="1:2">
      <c r="A4" s="17" t="s">
        <v>15</v>
      </c>
      <c r="B4" s="18">
        <v>1500</v>
      </c>
    </row>
    <row r="5" spans="1:2">
      <c r="A5" s="17" t="s">
        <v>16</v>
      </c>
      <c r="B5" s="18">
        <v>52000</v>
      </c>
    </row>
    <row r="6" spans="1:2">
      <c r="A6" s="17" t="s">
        <v>11</v>
      </c>
      <c r="B6" s="18">
        <f>B5*B4</f>
        <v>78000000</v>
      </c>
    </row>
    <row r="7" spans="1:2">
      <c r="A7" s="17" t="s">
        <v>12</v>
      </c>
      <c r="B7" s="18">
        <v>58461000</v>
      </c>
    </row>
    <row r="8" spans="1:2">
      <c r="A8" s="17" t="s">
        <v>13</v>
      </c>
      <c r="B8" s="18">
        <f>B6-B7</f>
        <v>19539000</v>
      </c>
    </row>
    <row r="9" spans="1:2">
      <c r="A9" s="17" t="s">
        <v>17</v>
      </c>
      <c r="B9" s="19">
        <f>B8/B6</f>
        <v>0.2505</v>
      </c>
    </row>
  </sheetData>
  <scenarios current="0" sqref="B8 B9">
    <scenario name="200원인하" locked="1" count="1" user="이혁재" comment="만든 사람 이혁재 날짜 2020-08-03">
      <inputCells r="B4" val="1300" numFmtId="41"/>
    </scenario>
    <scenario name="200원인상" locked="1" count="1" user="이혁재" comment="만든 사람 이혁재 날짜 2020-08-03">
      <inputCells r="B4" val="1700" numFmtId="41"/>
    </scenario>
  </scenarios>
  <mergeCells count="1">
    <mergeCell ref="A1:B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5</vt:i4>
      </vt:variant>
    </vt:vector>
  </HeadingPairs>
  <TitlesOfParts>
    <vt:vector size="11" baseType="lpstr">
      <vt:lpstr>시나리오 요약</vt:lpstr>
      <vt:lpstr>무작정따라하기</vt:lpstr>
      <vt:lpstr>시나리오 요약 2</vt:lpstr>
      <vt:lpstr>기출01</vt:lpstr>
      <vt:lpstr>시나리오 요약 3</vt:lpstr>
      <vt:lpstr>기출02</vt:lpstr>
      <vt:lpstr>A반품수량</vt:lpstr>
      <vt:lpstr>B반품수량</vt:lpstr>
      <vt:lpstr>C반품수량</vt:lpstr>
      <vt:lpstr>만기금액</vt:lpstr>
      <vt:lpstr>이율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2011-06-14T07:04:40Z</dcterms:created>
  <dcterms:modified xsi:type="dcterms:W3CDTF">2020-08-02T15:33:11Z</dcterms:modified>
</cp:coreProperties>
</file>