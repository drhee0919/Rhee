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3.분석작업\"/>
    </mc:Choice>
  </mc:AlternateContent>
  <xr:revisionPtr revIDLastSave="0" documentId="13_ncr:1_{D1A4C268-2DD7-46A9-BE1A-5992047FBA7F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무작정따라하기" sheetId="4" r:id="rId1"/>
    <sheet name="기출01" sheetId="5" r:id="rId2"/>
    <sheet name="기출02" sheetId="6" r:id="rId3"/>
    <sheet name="기출03" sheetId="7" r:id="rId4"/>
  </sheets>
  <definedNames>
    <definedName name="_xlnm._FilterDatabase" localSheetId="2" hidden="1">기출02!#REF!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6" l="1"/>
  <c r="F7" i="6"/>
  <c r="F8" i="6"/>
  <c r="F9" i="6"/>
  <c r="F10" i="6"/>
  <c r="F11" i="6"/>
  <c r="F12" i="6"/>
  <c r="F13" i="6"/>
  <c r="F14" i="6"/>
  <c r="F15" i="6"/>
  <c r="F5" i="6"/>
  <c r="B5" i="7" l="1"/>
  <c r="B8" i="7" l="1"/>
  <c r="B9" i="7" s="1"/>
  <c r="F16" i="5"/>
  <c r="F15" i="5"/>
  <c r="F14" i="5"/>
  <c r="F13" i="5"/>
  <c r="F12" i="5"/>
  <c r="F11" i="5"/>
  <c r="F10" i="5"/>
  <c r="F9" i="5"/>
  <c r="F8" i="5"/>
  <c r="F7" i="5"/>
  <c r="F6" i="5"/>
  <c r="F5" i="5"/>
  <c r="F4" i="5"/>
</calcChain>
</file>

<file path=xl/sharedStrings.xml><?xml version="1.0" encoding="utf-8"?>
<sst xmlns="http://schemas.openxmlformats.org/spreadsheetml/2006/main" count="89" uniqueCount="60">
  <si>
    <t>[표1]  서울지사 판매현황</t>
  </si>
  <si>
    <t>2월</t>
  </si>
  <si>
    <t>3월</t>
  </si>
  <si>
    <t>[표2]  경인지사 판매현황</t>
  </si>
  <si>
    <t>G-007</t>
  </si>
  <si>
    <t>[표3]  제주지사 판매현황</t>
  </si>
  <si>
    <t>매출번호</t>
  </si>
  <si>
    <t>제품코드</t>
  </si>
  <si>
    <t>제품명</t>
  </si>
  <si>
    <t>수량</t>
  </si>
  <si>
    <t>단가</t>
  </si>
  <si>
    <t>토너</t>
  </si>
  <si>
    <t>스캐너</t>
  </si>
  <si>
    <t>마우스</t>
  </si>
  <si>
    <t>스피커</t>
  </si>
  <si>
    <t>헤드셋</t>
  </si>
  <si>
    <t>강수정</t>
  </si>
  <si>
    <t>고두심</t>
  </si>
  <si>
    <t>김래원</t>
  </si>
  <si>
    <t>김태희</t>
  </si>
  <si>
    <t>노현정</t>
  </si>
  <si>
    <t>신동길</t>
  </si>
  <si>
    <t>유인촌</t>
  </si>
  <si>
    <t>이수철</t>
  </si>
  <si>
    <t>이정진</t>
  </si>
  <si>
    <t>정솔희</t>
  </si>
  <si>
    <t>황원섭</t>
  </si>
  <si>
    <t>할부기간</t>
  </si>
  <si>
    <t>매 출 현 황</t>
    <phoneticPr fontId="3" type="noConversion"/>
  </si>
  <si>
    <t>금액</t>
    <phoneticPr fontId="3" type="noConversion"/>
  </si>
  <si>
    <t>디스켓</t>
    <phoneticPr fontId="3" type="noConversion"/>
  </si>
  <si>
    <t>모뎀</t>
    <phoneticPr fontId="3" type="noConversion"/>
  </si>
  <si>
    <t>디스켓</t>
    <phoneticPr fontId="3" type="noConversion"/>
  </si>
  <si>
    <t>모뎀</t>
    <phoneticPr fontId="3" type="noConversion"/>
  </si>
  <si>
    <t>강사별 급여내역</t>
    <phoneticPr fontId="3" type="noConversion"/>
  </si>
  <si>
    <t>[표1]</t>
    <phoneticPr fontId="3" type="noConversion"/>
  </si>
  <si>
    <t>성명</t>
    <phoneticPr fontId="3" type="noConversion"/>
  </si>
  <si>
    <t>기본급</t>
    <phoneticPr fontId="3" type="noConversion"/>
  </si>
  <si>
    <t>과목수당</t>
    <phoneticPr fontId="3" type="noConversion"/>
  </si>
  <si>
    <t>학생수당</t>
    <phoneticPr fontId="3" type="noConversion"/>
  </si>
  <si>
    <t>급여</t>
    <phoneticPr fontId="3" type="noConversion"/>
  </si>
  <si>
    <t>연구비</t>
    <phoneticPr fontId="3" type="noConversion"/>
  </si>
  <si>
    <t>노트북</t>
    <phoneticPr fontId="3" type="noConversion"/>
  </si>
  <si>
    <t>판매가</t>
    <phoneticPr fontId="3" type="noConversion"/>
  </si>
  <si>
    <t>할인율</t>
    <phoneticPr fontId="3" type="noConversion"/>
  </si>
  <si>
    <t>구입금액</t>
    <phoneticPr fontId="3" type="noConversion"/>
  </si>
  <si>
    <t>카드수수료율</t>
    <phoneticPr fontId="3" type="noConversion"/>
  </si>
  <si>
    <t>카드수수료</t>
    <phoneticPr fontId="3" type="noConversion"/>
  </si>
  <si>
    <t>총구입액</t>
    <phoneticPr fontId="3" type="noConversion"/>
  </si>
  <si>
    <t>게임코드</t>
    <phoneticPr fontId="3" type="noConversion"/>
  </si>
  <si>
    <t>1월</t>
    <phoneticPr fontId="3" type="noConversion"/>
  </si>
  <si>
    <t>4월</t>
    <phoneticPr fontId="3" type="noConversion"/>
  </si>
  <si>
    <t>5월</t>
    <phoneticPr fontId="3" type="noConversion"/>
  </si>
  <si>
    <t>G-001</t>
    <phoneticPr fontId="3" type="noConversion"/>
  </si>
  <si>
    <t>G-002</t>
    <phoneticPr fontId="3" type="noConversion"/>
  </si>
  <si>
    <t>G-005</t>
    <phoneticPr fontId="3" type="noConversion"/>
  </si>
  <si>
    <t>G-007</t>
    <phoneticPr fontId="3" type="noConversion"/>
  </si>
  <si>
    <t>G-009</t>
    <phoneticPr fontId="3" type="noConversion"/>
  </si>
  <si>
    <t>[표4]  1사분기 판매합계</t>
    <phoneticPr fontId="3" type="noConversion"/>
  </si>
  <si>
    <t>G-006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</si>
</sst>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);[Red]\(#,##0\)"/>
    <numFmt numFmtId="178" formatCode="&quot;₩&quot;#,##0_);[Red]\(&quot;₩&quot;#,##0\)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9" fontId="1" fillId="0" borderId="0" applyFont="0" applyFill="0" applyBorder="0" applyAlignment="0" applyProtection="0"/>
  </cellStyleXfs>
  <cellXfs count="26">
    <xf numFmtId="0" fontId="0" fillId="0" borderId="0" xfId="0">
      <alignment vertical="center"/>
    </xf>
    <xf numFmtId="176" fontId="5" fillId="0" borderId="1" xfId="2" applyNumberFormat="1" applyFont="1" applyFill="1" applyBorder="1" applyAlignment="1">
      <alignment horizontal="right"/>
    </xf>
    <xf numFmtId="9" fontId="5" fillId="0" borderId="1" xfId="4" applyFont="1" applyFill="1" applyBorder="1" applyAlignment="1">
      <alignment horizontal="right"/>
    </xf>
    <xf numFmtId="9" fontId="5" fillId="0" borderId="1" xfId="4" applyFont="1" applyBorder="1" applyAlignment="1">
      <alignment horizontal="right"/>
    </xf>
    <xf numFmtId="41" fontId="5" fillId="0" borderId="0" xfId="2" applyFont="1" applyAlignment="1">
      <alignment vertical="center"/>
    </xf>
    <xf numFmtId="0" fontId="6" fillId="0" borderId="0" xfId="1" applyFont="1"/>
    <xf numFmtId="0" fontId="6" fillId="0" borderId="1" xfId="1" applyFont="1" applyBorder="1" applyAlignment="1">
      <alignment horizontal="center"/>
    </xf>
    <xf numFmtId="41" fontId="6" fillId="0" borderId="1" xfId="2" applyFont="1" applyBorder="1"/>
    <xf numFmtId="0" fontId="7" fillId="0" borderId="1" xfId="1" applyFont="1" applyFill="1" applyBorder="1" applyAlignment="1">
      <alignment horizontal="center"/>
    </xf>
    <xf numFmtId="0" fontId="7" fillId="0" borderId="0" xfId="1" applyFont="1"/>
    <xf numFmtId="176" fontId="7" fillId="0" borderId="1" xfId="1" applyNumberFormat="1" applyFont="1" applyFill="1" applyBorder="1" applyAlignment="1">
      <alignment horizontal="right"/>
    </xf>
    <xf numFmtId="0" fontId="6" fillId="0" borderId="0" xfId="1" applyFont="1" applyAlignment="1">
      <alignment vertical="center"/>
    </xf>
    <xf numFmtId="0" fontId="9" fillId="0" borderId="3" xfId="1" applyFont="1" applyFill="1" applyBorder="1" applyAlignment="1">
      <alignment horizontal="center" vertical="center"/>
    </xf>
    <xf numFmtId="41" fontId="9" fillId="0" borderId="3" xfId="2" applyFont="1" applyFill="1" applyBorder="1" applyAlignment="1">
      <alignment horizontal="center" vertical="center"/>
    </xf>
    <xf numFmtId="0" fontId="10" fillId="0" borderId="1" xfId="3" applyFont="1" applyFill="1" applyBorder="1" applyAlignment="1">
      <alignment horizontal="center" vertical="center" wrapText="1"/>
    </xf>
    <xf numFmtId="41" fontId="10" fillId="0" borderId="1" xfId="2" applyFont="1" applyFill="1" applyBorder="1" applyAlignment="1">
      <alignment horizontal="center" vertical="center" wrapText="1"/>
    </xf>
    <xf numFmtId="0" fontId="7" fillId="0" borderId="0" xfId="1" applyFont="1" applyAlignment="1">
      <alignment vertical="center"/>
    </xf>
    <xf numFmtId="0" fontId="12" fillId="0" borderId="1" xfId="1" applyFont="1" applyBorder="1" applyAlignment="1">
      <alignment horizontal="center"/>
    </xf>
    <xf numFmtId="0" fontId="7" fillId="0" borderId="0" xfId="1" applyFont="1" applyAlignment="1">
      <alignment horizontal="center"/>
    </xf>
    <xf numFmtId="0" fontId="7" fillId="0" borderId="1" xfId="1" applyFont="1" applyBorder="1" applyAlignment="1">
      <alignment horizontal="center"/>
    </xf>
    <xf numFmtId="41" fontId="7" fillId="0" borderId="1" xfId="2" applyFont="1" applyBorder="1"/>
    <xf numFmtId="178" fontId="7" fillId="2" borderId="1" xfId="1" applyNumberFormat="1" applyFont="1" applyFill="1" applyBorder="1" applyAlignment="1">
      <alignment vertical="center"/>
    </xf>
    <xf numFmtId="0" fontId="6" fillId="0" borderId="2" xfId="1" applyFont="1" applyBorder="1" applyAlignment="1">
      <alignment horizontal="center"/>
    </xf>
    <xf numFmtId="0" fontId="11" fillId="0" borderId="0" xfId="1" applyFont="1" applyAlignment="1">
      <alignment horizontal="center"/>
    </xf>
    <xf numFmtId="41" fontId="8" fillId="0" borderId="0" xfId="2" applyFont="1" applyAlignment="1">
      <alignment horizontal="center" vertical="center"/>
    </xf>
    <xf numFmtId="41" fontId="6" fillId="0" borderId="1" xfId="2" applyNumberFormat="1" applyFont="1" applyBorder="1"/>
  </cellXfs>
  <cellStyles count="5">
    <cellStyle name="백분율 2" xfId="4" xr:uid="{00000000-0005-0000-0000-000000000000}"/>
    <cellStyle name="쉼표 [0] 2" xfId="2" xr:uid="{00000000-0005-0000-0000-000001000000}"/>
    <cellStyle name="표준" xfId="0" builtinId="0"/>
    <cellStyle name="표준 2" xfId="1" xr:uid="{00000000-0005-0000-0000-000003000000}"/>
    <cellStyle name="표준_급여계산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17</xdr:row>
      <xdr:rowOff>0</xdr:rowOff>
    </xdr:from>
    <xdr:to>
      <xdr:col>9</xdr:col>
      <xdr:colOff>9525</xdr:colOff>
      <xdr:row>19</xdr:row>
      <xdr:rowOff>0</xdr:rowOff>
    </xdr:to>
    <xdr:sp macro="[0]!판매합계" textlink="">
      <xdr:nvSpPr>
        <xdr:cNvPr id="2" name="직사각형 1">
          <a:extLst>
            <a:ext uri="{FF2B5EF4-FFF2-40B4-BE49-F238E27FC236}">
              <a16:creationId xmlns:a16="http://schemas.microsoft.com/office/drawing/2014/main" id="{F6624F4E-AF71-473E-AE44-5CA1052E0488}"/>
            </a:ext>
          </a:extLst>
        </xdr:cNvPr>
        <xdr:cNvSpPr/>
      </xdr:nvSpPr>
      <xdr:spPr>
        <a:xfrm>
          <a:off x="4210050" y="2914650"/>
          <a:ext cx="1381125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판매합계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8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부분합제거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16"/>
  <sheetViews>
    <sheetView workbookViewId="0">
      <selection activeCell="F10" sqref="F10:I16"/>
    </sheetView>
  </sheetViews>
  <sheetFormatPr defaultRowHeight="13.5"/>
  <cols>
    <col min="1" max="4" width="9" style="5"/>
    <col min="5" max="5" width="2.375" style="5" customWidth="1"/>
    <col min="6" max="6" width="7.875" style="5" customWidth="1"/>
    <col min="7" max="16384" width="9" style="5"/>
  </cols>
  <sheetData>
    <row r="1" spans="1:9">
      <c r="A1" s="5" t="s">
        <v>0</v>
      </c>
      <c r="F1" s="5" t="s">
        <v>3</v>
      </c>
    </row>
    <row r="2" spans="1:9">
      <c r="A2" s="6" t="s">
        <v>49</v>
      </c>
      <c r="B2" s="6" t="s">
        <v>50</v>
      </c>
      <c r="C2" s="6" t="s">
        <v>1</v>
      </c>
      <c r="D2" s="6" t="s">
        <v>2</v>
      </c>
      <c r="F2" s="6" t="s">
        <v>49</v>
      </c>
      <c r="G2" s="6" t="s">
        <v>50</v>
      </c>
      <c r="H2" s="6" t="s">
        <v>51</v>
      </c>
      <c r="I2" s="6" t="s">
        <v>52</v>
      </c>
    </row>
    <row r="3" spans="1:9">
      <c r="A3" s="6" t="s">
        <v>53</v>
      </c>
      <c r="B3" s="7">
        <v>26954</v>
      </c>
      <c r="C3" s="7">
        <v>99953</v>
      </c>
      <c r="D3" s="7">
        <v>58735</v>
      </c>
      <c r="F3" s="6" t="s">
        <v>53</v>
      </c>
      <c r="G3" s="7">
        <v>83248</v>
      </c>
      <c r="H3" s="7">
        <v>17031</v>
      </c>
      <c r="I3" s="7">
        <v>3441</v>
      </c>
    </row>
    <row r="4" spans="1:9">
      <c r="A4" s="6" t="s">
        <v>54</v>
      </c>
      <c r="B4" s="7">
        <v>61936</v>
      </c>
      <c r="C4" s="7">
        <v>54840</v>
      </c>
      <c r="D4" s="7">
        <v>1841</v>
      </c>
      <c r="F4" s="6" t="s">
        <v>54</v>
      </c>
      <c r="G4" s="7">
        <v>86710</v>
      </c>
      <c r="H4" s="7">
        <v>36062</v>
      </c>
      <c r="I4" s="7">
        <v>58855</v>
      </c>
    </row>
    <row r="5" spans="1:9">
      <c r="A5" s="6" t="s">
        <v>55</v>
      </c>
      <c r="B5" s="7">
        <v>89745</v>
      </c>
      <c r="C5" s="7">
        <v>98119</v>
      </c>
      <c r="D5" s="7">
        <v>44002</v>
      </c>
      <c r="F5" s="6" t="s">
        <v>55</v>
      </c>
      <c r="G5" s="7">
        <v>66189</v>
      </c>
      <c r="H5" s="7">
        <v>7570</v>
      </c>
      <c r="I5" s="7">
        <v>14183</v>
      </c>
    </row>
    <row r="6" spans="1:9">
      <c r="A6" s="6" t="s">
        <v>56</v>
      </c>
      <c r="B6" s="7">
        <v>8672</v>
      </c>
      <c r="C6" s="7">
        <v>66419</v>
      </c>
      <c r="D6" s="7">
        <v>18661</v>
      </c>
      <c r="F6" s="6" t="s">
        <v>56</v>
      </c>
      <c r="G6" s="7">
        <v>25771</v>
      </c>
      <c r="H6" s="7">
        <v>95378</v>
      </c>
      <c r="I6" s="7">
        <v>21227</v>
      </c>
    </row>
    <row r="7" spans="1:9">
      <c r="A7" s="6" t="s">
        <v>57</v>
      </c>
      <c r="B7" s="7">
        <v>89676</v>
      </c>
      <c r="C7" s="7">
        <v>89793</v>
      </c>
      <c r="D7" s="7">
        <v>80495</v>
      </c>
      <c r="F7" s="6" t="s">
        <v>57</v>
      </c>
      <c r="G7" s="7">
        <v>52673</v>
      </c>
      <c r="H7" s="7">
        <v>78162</v>
      </c>
      <c r="I7" s="7">
        <v>39747</v>
      </c>
    </row>
    <row r="9" spans="1:9">
      <c r="A9" s="5" t="s">
        <v>5</v>
      </c>
      <c r="F9" s="22" t="s">
        <v>58</v>
      </c>
      <c r="G9" s="22"/>
      <c r="H9" s="22"/>
      <c r="I9" s="22"/>
    </row>
    <row r="10" spans="1:9">
      <c r="A10" s="6" t="s">
        <v>49</v>
      </c>
      <c r="B10" s="6" t="s">
        <v>50</v>
      </c>
      <c r="C10" s="6" t="s">
        <v>1</v>
      </c>
      <c r="D10" s="6" t="s">
        <v>2</v>
      </c>
      <c r="F10" s="6" t="s">
        <v>49</v>
      </c>
      <c r="G10" s="6" t="s">
        <v>50</v>
      </c>
      <c r="H10" s="6" t="s">
        <v>1</v>
      </c>
      <c r="I10" s="6" t="s">
        <v>2</v>
      </c>
    </row>
    <row r="11" spans="1:9">
      <c r="A11" s="6" t="s">
        <v>53</v>
      </c>
      <c r="B11" s="7">
        <v>16384</v>
      </c>
      <c r="C11" s="7">
        <v>23083</v>
      </c>
      <c r="D11" s="7">
        <v>75919</v>
      </c>
      <c r="F11" s="6" t="s">
        <v>53</v>
      </c>
      <c r="G11" s="25">
        <v>126586</v>
      </c>
      <c r="H11" s="25">
        <v>123036</v>
      </c>
      <c r="I11" s="25">
        <v>134654</v>
      </c>
    </row>
    <row r="12" spans="1:9">
      <c r="A12" s="6" t="s">
        <v>55</v>
      </c>
      <c r="B12" s="7">
        <v>97165</v>
      </c>
      <c r="C12" s="7">
        <v>91526</v>
      </c>
      <c r="D12" s="7">
        <v>64461</v>
      </c>
      <c r="F12" s="6" t="s">
        <v>54</v>
      </c>
      <c r="G12" s="25">
        <v>148646</v>
      </c>
      <c r="H12" s="25">
        <v>54840</v>
      </c>
      <c r="I12" s="25">
        <v>1841</v>
      </c>
    </row>
    <row r="13" spans="1:9">
      <c r="A13" s="6" t="s">
        <v>59</v>
      </c>
      <c r="B13" s="7">
        <v>88641</v>
      </c>
      <c r="C13" s="7">
        <v>9222</v>
      </c>
      <c r="D13" s="7">
        <v>94185</v>
      </c>
      <c r="F13" s="6" t="s">
        <v>55</v>
      </c>
      <c r="G13" s="25">
        <v>253099</v>
      </c>
      <c r="H13" s="25">
        <v>189645</v>
      </c>
      <c r="I13" s="25">
        <v>108463</v>
      </c>
    </row>
    <row r="14" spans="1:9">
      <c r="A14" s="6" t="s">
        <v>56</v>
      </c>
      <c r="B14" s="7">
        <v>35360</v>
      </c>
      <c r="C14" s="7">
        <v>29785</v>
      </c>
      <c r="D14" s="7">
        <v>11527</v>
      </c>
      <c r="F14" s="6" t="s">
        <v>59</v>
      </c>
      <c r="G14" s="25">
        <v>88641</v>
      </c>
      <c r="H14" s="25">
        <v>9222</v>
      </c>
      <c r="I14" s="25">
        <v>94185</v>
      </c>
    </row>
    <row r="15" spans="1:9">
      <c r="A15" s="6" t="s">
        <v>57</v>
      </c>
      <c r="B15" s="7">
        <v>28245</v>
      </c>
      <c r="C15" s="7">
        <v>6548</v>
      </c>
      <c r="D15" s="7">
        <v>19700</v>
      </c>
      <c r="F15" s="6" t="s">
        <v>4</v>
      </c>
      <c r="G15" s="25">
        <v>69803</v>
      </c>
      <c r="H15" s="25">
        <v>96204</v>
      </c>
      <c r="I15" s="25">
        <v>30188</v>
      </c>
    </row>
    <row r="16" spans="1:9">
      <c r="F16" s="6" t="s">
        <v>57</v>
      </c>
      <c r="G16" s="25">
        <v>170594</v>
      </c>
      <c r="H16" s="25">
        <v>96341</v>
      </c>
      <c r="I16" s="25">
        <v>100195</v>
      </c>
    </row>
  </sheetData>
  <dataConsolidate leftLabels="1" topLabels="1"/>
  <mergeCells count="1">
    <mergeCell ref="F9:I9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6"/>
  <sheetViews>
    <sheetView tabSelected="1" workbookViewId="0">
      <selection activeCell="I15" sqref="I15"/>
    </sheetView>
  </sheetViews>
  <sheetFormatPr defaultRowHeight="16.5"/>
  <cols>
    <col min="1" max="1" width="9" style="18"/>
    <col min="2" max="4" width="9" style="9"/>
    <col min="5" max="5" width="11.125" style="9" bestFit="1" customWidth="1"/>
    <col min="6" max="6" width="13" style="9" bestFit="1" customWidth="1"/>
    <col min="7" max="7" width="3.625" style="9" customWidth="1"/>
    <col min="8" max="8" width="13.5" style="9" customWidth="1"/>
    <col min="9" max="16384" width="9" style="9"/>
  </cols>
  <sheetData>
    <row r="1" spans="1:6" ht="20.25">
      <c r="A1" s="23" t="s">
        <v>28</v>
      </c>
      <c r="B1" s="23"/>
      <c r="C1" s="23"/>
      <c r="D1" s="23"/>
      <c r="E1" s="23"/>
      <c r="F1" s="23"/>
    </row>
    <row r="3" spans="1:6" s="18" customFormat="1">
      <c r="A3" s="17" t="s">
        <v>6</v>
      </c>
      <c r="B3" s="17" t="s">
        <v>7</v>
      </c>
      <c r="C3" s="17" t="s">
        <v>8</v>
      </c>
      <c r="D3" s="17" t="s">
        <v>9</v>
      </c>
      <c r="E3" s="17" t="s">
        <v>10</v>
      </c>
      <c r="F3" s="17" t="s">
        <v>29</v>
      </c>
    </row>
    <row r="4" spans="1:6">
      <c r="A4" s="19">
        <v>14</v>
      </c>
      <c r="B4" s="20">
        <v>3</v>
      </c>
      <c r="C4" s="19" t="s">
        <v>30</v>
      </c>
      <c r="D4" s="20">
        <v>8</v>
      </c>
      <c r="E4" s="20">
        <v>45000</v>
      </c>
      <c r="F4" s="20">
        <f>E4*D4</f>
        <v>360000</v>
      </c>
    </row>
    <row r="5" spans="1:6">
      <c r="A5" s="19">
        <v>15</v>
      </c>
      <c r="B5" s="20">
        <v>4</v>
      </c>
      <c r="C5" s="19" t="s">
        <v>11</v>
      </c>
      <c r="D5" s="20">
        <v>7</v>
      </c>
      <c r="E5" s="20">
        <v>12000</v>
      </c>
      <c r="F5" s="20">
        <f>E5*D5</f>
        <v>84000</v>
      </c>
    </row>
    <row r="6" spans="1:6">
      <c r="A6" s="19">
        <v>16</v>
      </c>
      <c r="B6" s="20">
        <v>2</v>
      </c>
      <c r="C6" s="19" t="s">
        <v>31</v>
      </c>
      <c r="D6" s="20">
        <v>3</v>
      </c>
      <c r="E6" s="20">
        <v>48000</v>
      </c>
      <c r="F6" s="20">
        <f>E6*D6</f>
        <v>144000</v>
      </c>
    </row>
    <row r="7" spans="1:6">
      <c r="A7" s="19">
        <v>17</v>
      </c>
      <c r="B7" s="20">
        <v>5</v>
      </c>
      <c r="C7" s="19" t="s">
        <v>12</v>
      </c>
      <c r="D7" s="20">
        <v>20</v>
      </c>
      <c r="E7" s="20">
        <v>12500</v>
      </c>
      <c r="F7" s="20">
        <f>E7*D7</f>
        <v>250000</v>
      </c>
    </row>
    <row r="8" spans="1:6">
      <c r="A8" s="19">
        <v>18</v>
      </c>
      <c r="B8" s="20">
        <v>4</v>
      </c>
      <c r="C8" s="19" t="s">
        <v>11</v>
      </c>
      <c r="D8" s="20">
        <v>24</v>
      </c>
      <c r="E8" s="20">
        <v>12500</v>
      </c>
      <c r="F8" s="20">
        <f>E8*D8</f>
        <v>300000</v>
      </c>
    </row>
    <row r="9" spans="1:6">
      <c r="A9" s="19">
        <v>19</v>
      </c>
      <c r="B9" s="20">
        <v>3</v>
      </c>
      <c r="C9" s="19" t="s">
        <v>32</v>
      </c>
      <c r="D9" s="20">
        <v>6</v>
      </c>
      <c r="E9" s="20">
        <v>43000</v>
      </c>
      <c r="F9" s="20">
        <f>E9*D9</f>
        <v>258000</v>
      </c>
    </row>
    <row r="10" spans="1:6">
      <c r="A10" s="19">
        <v>21</v>
      </c>
      <c r="B10" s="20">
        <v>2</v>
      </c>
      <c r="C10" s="19" t="s">
        <v>33</v>
      </c>
      <c r="D10" s="20">
        <v>15</v>
      </c>
      <c r="E10" s="20">
        <v>53000</v>
      </c>
      <c r="F10" s="20">
        <f>E10*D10</f>
        <v>795000</v>
      </c>
    </row>
    <row r="11" spans="1:6">
      <c r="A11" s="19">
        <v>22</v>
      </c>
      <c r="B11" s="20">
        <v>6</v>
      </c>
      <c r="C11" s="19" t="s">
        <v>13</v>
      </c>
      <c r="D11" s="20">
        <v>5</v>
      </c>
      <c r="E11" s="20">
        <v>16500</v>
      </c>
      <c r="F11" s="20">
        <f>E11*D11</f>
        <v>82500</v>
      </c>
    </row>
    <row r="12" spans="1:6">
      <c r="A12" s="19">
        <v>23</v>
      </c>
      <c r="B12" s="20">
        <v>1</v>
      </c>
      <c r="C12" s="19" t="s">
        <v>14</v>
      </c>
      <c r="D12" s="20">
        <v>6</v>
      </c>
      <c r="E12" s="20">
        <v>16000</v>
      </c>
      <c r="F12" s="20">
        <f>E12*D12</f>
        <v>96000</v>
      </c>
    </row>
    <row r="13" spans="1:6">
      <c r="A13" s="19">
        <v>24</v>
      </c>
      <c r="B13" s="20">
        <v>8</v>
      </c>
      <c r="C13" s="19" t="s">
        <v>15</v>
      </c>
      <c r="D13" s="20">
        <v>32</v>
      </c>
      <c r="E13" s="20">
        <v>12500</v>
      </c>
      <c r="F13" s="20">
        <f>E13*D13</f>
        <v>400000</v>
      </c>
    </row>
    <row r="14" spans="1:6">
      <c r="A14" s="19">
        <v>25</v>
      </c>
      <c r="B14" s="20">
        <v>4</v>
      </c>
      <c r="C14" s="19" t="s">
        <v>11</v>
      </c>
      <c r="D14" s="20">
        <v>41</v>
      </c>
      <c r="E14" s="20">
        <v>12300</v>
      </c>
      <c r="F14" s="20">
        <f>E14*D14</f>
        <v>504300</v>
      </c>
    </row>
    <row r="15" spans="1:6">
      <c r="A15" s="19">
        <v>26</v>
      </c>
      <c r="B15" s="20">
        <v>6</v>
      </c>
      <c r="C15" s="19" t="s">
        <v>13</v>
      </c>
      <c r="D15" s="20">
        <v>16</v>
      </c>
      <c r="E15" s="20">
        <v>16000</v>
      </c>
      <c r="F15" s="20">
        <f>E15*D15</f>
        <v>256000</v>
      </c>
    </row>
    <row r="16" spans="1:6">
      <c r="A16" s="19">
        <v>26</v>
      </c>
      <c r="B16" s="20">
        <v>5</v>
      </c>
      <c r="C16" s="19" t="s">
        <v>12</v>
      </c>
      <c r="D16" s="20">
        <v>24</v>
      </c>
      <c r="E16" s="20">
        <v>8000</v>
      </c>
      <c r="F16" s="20">
        <f>E16*D16</f>
        <v>192000</v>
      </c>
    </row>
  </sheetData>
  <sortState xmlns:xlrd2="http://schemas.microsoft.com/office/spreadsheetml/2017/richdata2" ref="A4:F16">
    <sortCondition ref="A4:A16"/>
  </sortState>
  <mergeCells count="1">
    <mergeCell ref="A1:F1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합계구하기">
                <anchor moveWithCells="1" sizeWithCells="1">
                  <from>
                    <xdr:col>7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제거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15"/>
  <sheetViews>
    <sheetView workbookViewId="0">
      <selection activeCell="H26" sqref="H26"/>
    </sheetView>
  </sheetViews>
  <sheetFormatPr defaultRowHeight="16.5"/>
  <cols>
    <col min="1" max="1" width="9" style="16"/>
    <col min="2" max="2" width="12.5" style="4" bestFit="1" customWidth="1"/>
    <col min="3" max="3" width="14.25" style="4" bestFit="1" customWidth="1"/>
    <col min="4" max="4" width="14.25" style="9" bestFit="1" customWidth="1"/>
    <col min="5" max="5" width="10.75" style="9" bestFit="1" customWidth="1"/>
    <col min="6" max="6" width="12.5" style="9" bestFit="1" customWidth="1"/>
    <col min="7" max="16384" width="9" style="9"/>
  </cols>
  <sheetData>
    <row r="1" spans="1:6" ht="21" customHeight="1">
      <c r="A1" s="24" t="s">
        <v>34</v>
      </c>
      <c r="B1" s="24"/>
      <c r="C1" s="24"/>
    </row>
    <row r="3" spans="1:6">
      <c r="A3" s="11" t="s">
        <v>35</v>
      </c>
    </row>
    <row r="4" spans="1:6" ht="17.25" thickBot="1">
      <c r="A4" s="12" t="s">
        <v>36</v>
      </c>
      <c r="B4" s="13" t="s">
        <v>37</v>
      </c>
      <c r="C4" s="13" t="s">
        <v>38</v>
      </c>
      <c r="D4" s="13" t="s">
        <v>39</v>
      </c>
      <c r="E4" s="13" t="s">
        <v>40</v>
      </c>
      <c r="F4" s="13" t="s">
        <v>41</v>
      </c>
    </row>
    <row r="5" spans="1:6" ht="17.25" thickTop="1">
      <c r="A5" s="14" t="s">
        <v>16</v>
      </c>
      <c r="B5" s="15">
        <v>2000000</v>
      </c>
      <c r="C5" s="15">
        <v>500000</v>
      </c>
      <c r="D5" s="15">
        <v>120000</v>
      </c>
      <c r="E5" s="15">
        <v>2620000</v>
      </c>
      <c r="F5" s="15">
        <f>E5*1.5%</f>
        <v>39300</v>
      </c>
    </row>
    <row r="6" spans="1:6">
      <c r="A6" s="14" t="s">
        <v>17</v>
      </c>
      <c r="B6" s="15">
        <v>2100000</v>
      </c>
      <c r="C6" s="15">
        <v>400000</v>
      </c>
      <c r="D6" s="15">
        <v>90000</v>
      </c>
      <c r="E6" s="15">
        <v>2590000</v>
      </c>
      <c r="F6" s="15">
        <f t="shared" ref="F6:F15" si="0">E6*1.5%</f>
        <v>38850</v>
      </c>
    </row>
    <row r="7" spans="1:6">
      <c r="A7" s="14" t="s">
        <v>18</v>
      </c>
      <c r="B7" s="15">
        <v>2100000</v>
      </c>
      <c r="C7" s="15">
        <v>700000</v>
      </c>
      <c r="D7" s="15">
        <v>90000</v>
      </c>
      <c r="E7" s="15">
        <v>2890000</v>
      </c>
      <c r="F7" s="15">
        <f t="shared" si="0"/>
        <v>43350</v>
      </c>
    </row>
    <row r="8" spans="1:6">
      <c r="A8" s="14" t="s">
        <v>19</v>
      </c>
      <c r="B8" s="15">
        <v>2200000</v>
      </c>
      <c r="C8" s="15">
        <v>700000</v>
      </c>
      <c r="D8" s="15">
        <v>120000</v>
      </c>
      <c r="E8" s="15">
        <v>3020000</v>
      </c>
      <c r="F8" s="15">
        <f t="shared" si="0"/>
        <v>45300</v>
      </c>
    </row>
    <row r="9" spans="1:6">
      <c r="A9" s="14" t="s">
        <v>20</v>
      </c>
      <c r="B9" s="15">
        <v>2100000</v>
      </c>
      <c r="C9" s="15">
        <v>500000</v>
      </c>
      <c r="D9" s="15">
        <v>30000</v>
      </c>
      <c r="E9" s="15">
        <v>2630000</v>
      </c>
      <c r="F9" s="15">
        <f t="shared" si="0"/>
        <v>39450</v>
      </c>
    </row>
    <row r="10" spans="1:6">
      <c r="A10" s="14" t="s">
        <v>21</v>
      </c>
      <c r="B10" s="15">
        <v>2200000</v>
      </c>
      <c r="C10" s="15">
        <v>500000</v>
      </c>
      <c r="D10" s="15">
        <v>120000</v>
      </c>
      <c r="E10" s="15">
        <v>2820000</v>
      </c>
      <c r="F10" s="15">
        <f t="shared" si="0"/>
        <v>42300</v>
      </c>
    </row>
    <row r="11" spans="1:6">
      <c r="A11" s="14" t="s">
        <v>22</v>
      </c>
      <c r="B11" s="15">
        <v>2200000</v>
      </c>
      <c r="C11" s="15">
        <v>400000</v>
      </c>
      <c r="D11" s="15">
        <v>60000</v>
      </c>
      <c r="E11" s="15">
        <v>2660000</v>
      </c>
      <c r="F11" s="15">
        <f t="shared" si="0"/>
        <v>39900</v>
      </c>
    </row>
    <row r="12" spans="1:6">
      <c r="A12" s="14" t="s">
        <v>23</v>
      </c>
      <c r="B12" s="15">
        <v>2200000</v>
      </c>
      <c r="C12" s="15">
        <v>500000</v>
      </c>
      <c r="D12" s="15">
        <v>30000</v>
      </c>
      <c r="E12" s="15">
        <v>2730000</v>
      </c>
      <c r="F12" s="15">
        <f t="shared" si="0"/>
        <v>40950</v>
      </c>
    </row>
    <row r="13" spans="1:6">
      <c r="A13" s="14" t="s">
        <v>24</v>
      </c>
      <c r="B13" s="15">
        <v>2000000</v>
      </c>
      <c r="C13" s="15">
        <v>700000</v>
      </c>
      <c r="D13" s="15">
        <v>30000</v>
      </c>
      <c r="E13" s="15">
        <v>2730000</v>
      </c>
      <c r="F13" s="15">
        <f t="shared" si="0"/>
        <v>40950</v>
      </c>
    </row>
    <row r="14" spans="1:6">
      <c r="A14" s="14" t="s">
        <v>25</v>
      </c>
      <c r="B14" s="15">
        <v>2000000</v>
      </c>
      <c r="C14" s="15">
        <v>400000</v>
      </c>
      <c r="D14" s="15">
        <v>150000</v>
      </c>
      <c r="E14" s="15">
        <v>2550000</v>
      </c>
      <c r="F14" s="15">
        <f t="shared" si="0"/>
        <v>38250</v>
      </c>
    </row>
    <row r="15" spans="1:6">
      <c r="A15" s="14" t="s">
        <v>26</v>
      </c>
      <c r="B15" s="15">
        <v>2000000</v>
      </c>
      <c r="C15" s="15">
        <v>500000</v>
      </c>
      <c r="D15" s="15">
        <v>60000</v>
      </c>
      <c r="E15" s="15">
        <v>2560000</v>
      </c>
      <c r="F15" s="15">
        <f t="shared" si="0"/>
        <v>38400</v>
      </c>
    </row>
  </sheetData>
  <mergeCells count="1">
    <mergeCell ref="A1:C1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B9"/>
  <sheetViews>
    <sheetView workbookViewId="0">
      <selection activeCell="F14" sqref="F14"/>
    </sheetView>
  </sheetViews>
  <sheetFormatPr defaultRowHeight="16.5"/>
  <cols>
    <col min="1" max="1" width="13.125" style="9" bestFit="1" customWidth="1"/>
    <col min="2" max="2" width="12.75" style="9" bestFit="1" customWidth="1"/>
    <col min="3" max="3" width="7.375" style="9" customWidth="1"/>
    <col min="4" max="4" width="11.125" style="9" customWidth="1"/>
    <col min="5" max="5" width="9.25" style="9" customWidth="1"/>
    <col min="6" max="16384" width="9" style="9"/>
  </cols>
  <sheetData>
    <row r="1" spans="1:2" ht="16.5" customHeight="1"/>
    <row r="2" spans="1:2" ht="16.5" customHeight="1">
      <c r="A2" s="8" t="s">
        <v>8</v>
      </c>
      <c r="B2" s="8" t="s">
        <v>42</v>
      </c>
    </row>
    <row r="3" spans="1:2" ht="16.5" customHeight="1">
      <c r="A3" s="8" t="s">
        <v>43</v>
      </c>
      <c r="B3" s="1">
        <v>1300000</v>
      </c>
    </row>
    <row r="4" spans="1:2" ht="16.5" customHeight="1">
      <c r="A4" s="8" t="s">
        <v>44</v>
      </c>
      <c r="B4" s="2">
        <v>0.12</v>
      </c>
    </row>
    <row r="5" spans="1:2" ht="16.5" customHeight="1">
      <c r="A5" s="8" t="s">
        <v>45</v>
      </c>
      <c r="B5" s="1">
        <f>B3*(1-B4)</f>
        <v>1144000</v>
      </c>
    </row>
    <row r="6" spans="1:2" ht="16.5" customHeight="1">
      <c r="A6" s="8" t="s">
        <v>27</v>
      </c>
      <c r="B6" s="10">
        <v>6</v>
      </c>
    </row>
    <row r="7" spans="1:2" ht="16.5" customHeight="1">
      <c r="A7" s="8" t="s">
        <v>46</v>
      </c>
      <c r="B7" s="3">
        <v>0.05</v>
      </c>
    </row>
    <row r="8" spans="1:2" ht="16.5" customHeight="1">
      <c r="A8" s="8" t="s">
        <v>47</v>
      </c>
      <c r="B8" s="1">
        <f>B5*B7</f>
        <v>57200</v>
      </c>
    </row>
    <row r="9" spans="1:2" ht="16.5" customHeight="1">
      <c r="A9" s="8" t="s">
        <v>48</v>
      </c>
      <c r="B9" s="21">
        <f>B5+B8</f>
        <v>1201200</v>
      </c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2011-06-14T07:08:52Z</dcterms:created>
  <dcterms:modified xsi:type="dcterms:W3CDTF">2020-08-02T17:54:29Z</dcterms:modified>
</cp:coreProperties>
</file>