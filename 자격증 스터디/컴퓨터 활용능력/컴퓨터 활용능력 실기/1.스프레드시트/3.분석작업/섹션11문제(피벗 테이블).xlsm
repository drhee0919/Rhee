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C192B9F4-AFFA-4EE9-AFBD-16BE2AB91A1F}" xr6:coauthVersionLast="45" xr6:coauthVersionMax="45" xr10:uidLastSave="{00000000-0000-0000-0000-000000000000}"/>
  <bookViews>
    <workbookView xWindow="0" yWindow="0" windowWidth="20490" windowHeight="10920" tabRatio="940" activeTab="5" xr2:uid="{00000000-000D-0000-FFFF-FFFF00000000}"/>
  </bookViews>
  <sheets>
    <sheet name="3월가공현황" sheetId="5" r:id="rId1"/>
    <sheet name="무작정따라하기" sheetId="1" r:id="rId2"/>
    <sheet name="기출01" sheetId="2" r:id="rId3"/>
    <sheet name="기출02" sheetId="3" r:id="rId4"/>
    <sheet name="시스템SW" sheetId="6" r:id="rId5"/>
    <sheet name="기출03" sheetId="4" r:id="rId6"/>
  </sheets>
  <definedNames>
    <definedName name="MS_Access_Database_Query" localSheetId="3" hidden="1">기출02!#REF!</definedName>
    <definedName name="상여지급율">기출03!#REF!</definedName>
    <definedName name="특별상여율">기출03!#REF!</definedName>
  </definedNames>
  <calcPr calcId="191029"/>
  <pivotCaches>
    <pivotCache cacheId="0" r:id="rId7"/>
    <pivotCache cacheId="10" r:id="rId8"/>
    <pivotCache cacheId="16" r:id="rId9"/>
    <pivotCache cacheId="2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G1" authorId="0" shapeId="0" xr:uid="{C3DFC41E-670B-40A6-B619-EEB46C9385C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>(Pivot)</t>
        </r>
        <r>
          <rPr>
            <sz val="9"/>
            <color indexed="81"/>
            <rFont val="돋움"/>
            <family val="3"/>
            <charset val="129"/>
          </rPr>
          <t>이란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재구성하여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파악할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자동필터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쉽게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개요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가공일은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단위로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완성된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6'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가공팀은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목표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비율을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자리까지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>. 
-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'3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가공현황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1.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: 1)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클릭
</t>
        </r>
        <r>
          <rPr>
            <sz val="9"/>
            <color indexed="81"/>
            <rFont val="Tahoma"/>
            <family val="2"/>
          </rPr>
          <t xml:space="preserve">  2)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지정되어있는지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확인하고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워크시트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
     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처럼</t>
        </r>
        <r>
          <rPr>
            <sz val="9"/>
            <color indexed="81"/>
            <rFont val="Tahoma"/>
            <family val="2"/>
          </rPr>
          <t xml:space="preserve"> 'I3'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  3)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필터에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제조순번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가공팀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가공일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
     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끌어다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놓기</t>
        </r>
        <r>
          <rPr>
            <sz val="9"/>
            <color indexed="81"/>
            <rFont val="Tahoma"/>
            <family val="2"/>
          </rPr>
          <t xml:space="preserve"> 
  4)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메뉴의
</t>
        </r>
        <r>
          <rPr>
            <sz val="9"/>
            <color indexed="81"/>
            <rFont val="Tahoma"/>
            <family val="2"/>
          </rPr>
          <t xml:space="preserve">      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레이아웃에서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개요형식으로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</text>
    </comment>
    <comment ref="L2" authorId="0" shapeId="0" xr:uid="{E6A57DA3-9E57-4053-ACD2-23067A0B4CE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2. 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시키기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당위당원가</t>
        </r>
        <r>
          <rPr>
            <sz val="9"/>
            <color indexed="81"/>
            <rFont val="Tahoma"/>
            <family val="2"/>
          </rPr>
          <t xml:space="preserve">, 
 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목표매출액을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우클릭하여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>, '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I3" authorId="0" shapeId="0" xr:uid="{488E8585-729B-4E6C-AC97-FC74F4E155D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6.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리본메뉴의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피벗케이블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
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아래화살표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자세히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
7. </t>
        </r>
        <r>
          <rPr>
            <sz val="9"/>
            <color indexed="81"/>
            <rFont val="돋움"/>
            <family val="3"/>
            <charset val="129"/>
          </rPr>
          <t>필드의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문제에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제시된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하단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체크표시를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해제한후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완성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3" authorId="0" shapeId="0" xr:uid="{ABF63891-0529-45EB-AF04-A0DC825B4FE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5.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그룹을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바로가기에서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
(ex/ </t>
        </r>
        <r>
          <rPr>
            <sz val="9"/>
            <color indexed="81"/>
            <rFont val="돋움"/>
            <family val="3"/>
            <charset val="129"/>
          </rPr>
          <t>가공일에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)
 </t>
        </r>
      </text>
    </comment>
    <comment ref="L3" authorId="0" shapeId="0" xr:uid="{5C49EA4C-C49E-4246-BBB4-A9A39DD19E44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3.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지정하기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항목에서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 
4.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좌하단의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버튼에서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백분율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자릿수를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</t>
        </r>
      </text>
    </comment>
    <comment ref="L9" authorId="0" shapeId="0" xr:uid="{A5064EFC-E8B2-4C3B-96CD-08429872DC89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sz val="9"/>
            <color indexed="81"/>
            <rFont val="Tahoma"/>
            <family val="2"/>
          </rPr>
          <t xml:space="preserve">
6.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팀의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[L9]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더블클릭한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시트앞에</t>
        </r>
        <r>
          <rPr>
            <sz val="9"/>
            <color indexed="81"/>
            <rFont val="Tahoma"/>
            <family val="2"/>
          </rPr>
          <t xml:space="preserve"> [Sheet1] </t>
        </r>
        <r>
          <rPr>
            <sz val="9"/>
            <color indexed="81"/>
            <rFont val="돋움"/>
            <family val="3"/>
            <charset val="129"/>
          </rPr>
          <t>새시트가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생성되면</t>
        </r>
        <r>
          <rPr>
            <sz val="9"/>
            <color indexed="81"/>
            <rFont val="Tahoma"/>
            <family val="2"/>
          </rPr>
          <t xml:space="preserve"> [Sheet1]</t>
        </r>
        <r>
          <rPr>
            <sz val="9"/>
            <color indexed="81"/>
            <rFont val="돋움"/>
            <family val="3"/>
            <charset val="129"/>
          </rPr>
          <t xml:space="preserve">을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더블클릭하여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'3</t>
        </r>
        <r>
          <rPr>
            <sz val="9"/>
            <color indexed="81"/>
            <rFont val="돋움"/>
            <family val="3"/>
            <charset val="129"/>
          </rPr>
          <t>월가공현황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변경한다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4A610413-BA1D-4A31-B112-26EE5AC53DF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추가하기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리본메뉴의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옵션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집합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2.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하단에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3.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  - </t>
        </r>
        <r>
          <rPr>
            <sz val="9"/>
            <color indexed="81"/>
            <rFont val="돋움"/>
            <family val="3"/>
            <charset val="129"/>
          </rPr>
          <t>수동으로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테두리를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
  - </t>
        </r>
        <r>
          <rPr>
            <sz val="9"/>
            <color indexed="81"/>
            <rFont val="돋움"/>
            <family val="3"/>
            <charset val="129"/>
          </rPr>
          <t>설정으로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필터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텍스트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오름차순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내림차순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H4" authorId="0" shapeId="0" xr:uid="{A1244236-DE4D-4512-8B7C-B31BF601B36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우클릭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<sst xmlns="http://schemas.openxmlformats.org/spreadsheetml/2006/main" count="429" uniqueCount="222">
  <si>
    <t>[표1]</t>
    <phoneticPr fontId="4" type="noConversion"/>
  </si>
  <si>
    <t>임금수준</t>
    <phoneticPr fontId="4" type="noConversion"/>
  </si>
  <si>
    <t>업무</t>
  </si>
  <si>
    <t>ID</t>
  </si>
  <si>
    <t>분류</t>
  </si>
  <si>
    <t>종사자수</t>
  </si>
  <si>
    <t>월평균임금</t>
  </si>
  <si>
    <t>시스템설계/분석</t>
  </si>
  <si>
    <t>관리</t>
  </si>
  <si>
    <t>IT컨설턴트</t>
  </si>
  <si>
    <t>시스템SW개발자</t>
  </si>
  <si>
    <t>개발</t>
  </si>
  <si>
    <t>NW분석가</t>
  </si>
  <si>
    <t>보안전문가</t>
  </si>
  <si>
    <t>PC강사</t>
  </si>
  <si>
    <t>PC수리원</t>
  </si>
  <si>
    <t>응용SW개발자</t>
  </si>
  <si>
    <t>SM관리자</t>
  </si>
  <si>
    <t>멀티미디어기획</t>
  </si>
  <si>
    <t>웹개발자</t>
  </si>
  <si>
    <t>웹디자이너</t>
  </si>
  <si>
    <t>통신공학기술자</t>
  </si>
  <si>
    <t>통신케이블설치</t>
  </si>
  <si>
    <t>애니메이터</t>
  </si>
  <si>
    <t>정보통신관리자</t>
  </si>
  <si>
    <t>제조순번</t>
  </si>
  <si>
    <t>가공일</t>
  </si>
  <si>
    <t>가공팀</t>
  </si>
  <si>
    <t>단위당원가</t>
  </si>
  <si>
    <t>가공수량</t>
  </si>
  <si>
    <t>가공원가</t>
  </si>
  <si>
    <t>목표매출액</t>
  </si>
  <si>
    <t>2016-001</t>
  </si>
  <si>
    <t>제조1팀</t>
  </si>
  <si>
    <t>2016-002</t>
  </si>
  <si>
    <t>2016-003</t>
  </si>
  <si>
    <t>제조3팀</t>
  </si>
  <si>
    <t>2016-004</t>
  </si>
  <si>
    <t>제조6팀</t>
  </si>
  <si>
    <t>2016-005</t>
  </si>
  <si>
    <t>제조5팀</t>
  </si>
  <si>
    <t>2016-006</t>
  </si>
  <si>
    <t>2016-007</t>
  </si>
  <si>
    <t>2016-008</t>
  </si>
  <si>
    <t>제조4팀</t>
  </si>
  <si>
    <t>2016-009</t>
  </si>
  <si>
    <t>2016-010</t>
  </si>
  <si>
    <t>제조2팀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</si>
  <si>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</si>
  <si>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</si>
  <si>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</si>
  <si>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</si>
  <si>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</si>
  <si>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</si>
  <si>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</si>
  <si>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</si>
  <si>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</si>
  <si>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</si>
  <si>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</si>
  <si>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</si>
  <si>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</si>
  <si>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</si>
  <si>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</si>
  <si>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</si>
  <si>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</si>
  <si>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</si>
  <si>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</si>
  <si>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</si>
  <si>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2016-031</t>
  </si>
  <si>
    <t>2016-032</t>
  </si>
  <si>
    <t>2016-033</t>
  </si>
  <si>
    <t>2016-034</t>
  </si>
  <si>
    <t>2016-035</t>
  </si>
  <si>
    <t>2016-036</t>
  </si>
  <si>
    <t>2016-037</t>
  </si>
  <si>
    <t>2016-038</t>
  </si>
  <si>
    <t>2016-039</t>
  </si>
  <si>
    <t>2016-040</t>
  </si>
  <si>
    <t>2016-041</t>
  </si>
  <si>
    <t>2016-042</t>
  </si>
  <si>
    <t>2016-043</t>
  </si>
  <si>
    <t>2016-044</t>
  </si>
  <si>
    <t>2016-045</t>
  </si>
  <si>
    <t>2016-046</t>
  </si>
  <si>
    <t>2016-047</t>
  </si>
  <si>
    <t>2016-048</t>
  </si>
  <si>
    <t>2016-049</t>
  </si>
  <si>
    <t>2016-050</t>
  </si>
  <si>
    <t>2016-051</t>
  </si>
  <si>
    <t>2016-052</t>
  </si>
  <si>
    <t>2016-053</t>
  </si>
  <si>
    <t>2016-054</t>
  </si>
  <si>
    <t>2016-055</t>
  </si>
  <si>
    <t>2016-056</t>
  </si>
  <si>
    <t>2016-057</t>
  </si>
  <si>
    <t>2016-058</t>
  </si>
  <si>
    <t>2016-059</t>
  </si>
  <si>
    <t>2016-060</t>
  </si>
  <si>
    <t>2016-061</t>
  </si>
  <si>
    <t>2016-062</t>
  </si>
  <si>
    <t>학번</t>
  </si>
  <si>
    <t>수강과목</t>
  </si>
  <si>
    <t>출석</t>
  </si>
  <si>
    <t>중간</t>
  </si>
  <si>
    <t>기말</t>
  </si>
  <si>
    <t>1차과제</t>
  </si>
  <si>
    <t>2차과제</t>
  </si>
  <si>
    <t>평균</t>
  </si>
  <si>
    <t>03G124</t>
  </si>
  <si>
    <t>엑셀</t>
  </si>
  <si>
    <t>03G204</t>
  </si>
  <si>
    <t>04L789</t>
  </si>
  <si>
    <t>윈도우</t>
  </si>
  <si>
    <t>03M171</t>
  </si>
  <si>
    <t>03M174</t>
  </si>
  <si>
    <t>04G521</t>
  </si>
  <si>
    <t>04M121</t>
  </si>
  <si>
    <t>03M781</t>
  </si>
  <si>
    <t>03G321</t>
  </si>
  <si>
    <t>03L121</t>
  </si>
  <si>
    <t>04G142</t>
  </si>
  <si>
    <t>03M111</t>
  </si>
  <si>
    <t>04G121</t>
  </si>
  <si>
    <t>액세스</t>
  </si>
  <si>
    <t>04M147</t>
  </si>
  <si>
    <t>04L362</t>
  </si>
  <si>
    <t>04M143</t>
  </si>
  <si>
    <t>03M012</t>
  </si>
  <si>
    <t>03L321</t>
  </si>
  <si>
    <t>04G741</t>
  </si>
  <si>
    <t>대출번호</t>
  </si>
  <si>
    <t>성명</t>
  </si>
  <si>
    <t>대출지점</t>
  </si>
  <si>
    <t>대출종류</t>
  </si>
  <si>
    <t>대출금액</t>
  </si>
  <si>
    <t>M01-23</t>
  </si>
  <si>
    <t>구준식</t>
  </si>
  <si>
    <t>서울</t>
  </si>
  <si>
    <t>무보증신용대출</t>
  </si>
  <si>
    <t>M02-12</t>
  </si>
  <si>
    <t>이진태</t>
  </si>
  <si>
    <t>경기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</si>
  <si>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</si>
  <si>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</si>
  <si>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</si>
  <si>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</si>
  <si>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</si>
  <si>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</si>
  <si>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</si>
  <si>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</si>
  <si>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</si>
  <si>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</si>
  <si>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예부적금담보대출</t>
  </si>
  <si>
    <t>M02-14</t>
  </si>
  <si>
    <t>이영민</t>
  </si>
  <si>
    <t>Y01-07</t>
  </si>
  <si>
    <t>도희철</t>
  </si>
  <si>
    <t>K04-02</t>
  </si>
  <si>
    <t>우진우</t>
  </si>
  <si>
    <t>충청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</si>
  <si>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</si>
  <si>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</si>
  <si>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</si>
  <si>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</si>
  <si>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</si>
  <si>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</si>
  <si>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</si>
  <si>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</si>
  <si>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</si>
  <si>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</si>
  <si>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</si>
  <si>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</si>
  <si>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</si>
  <si>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</si>
  <si>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</si>
  <si>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</si>
  <si>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</si>
  <si>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</si>
  <si>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</si>
  <si>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</si>
  <si>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</si>
  <si>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</si>
  <si>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</si>
  <si>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</si>
  <si>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</si>
  <si>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</si>
  <si>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</si>
  <si>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</si>
  <si>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</si>
  <si>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</si>
  <si>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</si>
  <si>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</si>
  <si>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</si>
  <si>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</si>
  <si>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</si>
  <si>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</si>
  <si>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</si>
  <si>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기간</t>
    <phoneticPr fontId="3" type="noConversion"/>
  </si>
  <si>
    <t>총합계</t>
  </si>
  <si>
    <t>(모두)</t>
  </si>
  <si>
    <t>평균 : 단위당원가</t>
  </si>
  <si>
    <t>평균 : 목표매출액</t>
  </si>
  <si>
    <t>1월</t>
  </si>
  <si>
    <t>2월</t>
  </si>
  <si>
    <t>3월</t>
  </si>
  <si>
    <t>행 레이블</t>
  </si>
  <si>
    <t>합계 : 중간</t>
  </si>
  <si>
    <t>합계 : 기말</t>
  </si>
  <si>
    <t>학번2</t>
  </si>
  <si>
    <t>2학년</t>
  </si>
  <si>
    <t>1학년</t>
  </si>
  <si>
    <t>값</t>
  </si>
  <si>
    <t>전체 합계 : 중간</t>
  </si>
  <si>
    <t>전체 합계 : 기말</t>
  </si>
  <si>
    <t>합계 : 대출금액</t>
  </si>
  <si>
    <t>합계 : 기간</t>
  </si>
  <si>
    <t xml:space="preserve">합계 : 월이자 </t>
  </si>
  <si>
    <t>서울 요약</t>
  </si>
  <si>
    <t>경기 요약</t>
  </si>
  <si>
    <t>충청 요약</t>
  </si>
  <si>
    <t>부산 요약</t>
  </si>
  <si>
    <t>평균 : 월평균임금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</si>
</sst>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8" formatCode="General&quot;점&quot;"/>
    <numFmt numFmtId="179" formatCode="#,##0_ "/>
    <numFmt numFmtId="180" formatCode="0.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/>
    <xf numFmtId="0" fontId="7" fillId="0" borderId="0"/>
  </cellStyleXfs>
  <cellXfs count="47">
    <xf numFmtId="0" fontId="0" fillId="0" borderId="0" xfId="0">
      <alignment vertical="center"/>
    </xf>
    <xf numFmtId="0" fontId="2" fillId="0" borderId="0" xfId="1" applyFont="1"/>
    <xf numFmtId="0" fontId="6" fillId="2" borderId="1" xfId="2" applyFont="1" applyFill="1" applyBorder="1" applyAlignment="1">
      <alignment horizontal="center"/>
    </xf>
    <xf numFmtId="0" fontId="6" fillId="0" borderId="1" xfId="2" applyFont="1" applyFill="1" applyBorder="1" applyAlignment="1">
      <alignment horizontal="right" wrapText="1"/>
    </xf>
    <xf numFmtId="0" fontId="6" fillId="0" borderId="1" xfId="2" applyFont="1" applyFill="1" applyBorder="1" applyAlignment="1">
      <alignment wrapText="1"/>
    </xf>
    <xf numFmtId="0" fontId="2" fillId="0" borderId="2" xfId="1" applyNumberFormat="1" applyFont="1" applyBorder="1" applyAlignment="1">
      <alignment horizontal="center"/>
    </xf>
    <xf numFmtId="0" fontId="2" fillId="0" borderId="3" xfId="1" applyNumberFormat="1" applyFont="1" applyBorder="1" applyAlignment="1">
      <alignment horizontal="center"/>
    </xf>
    <xf numFmtId="0" fontId="2" fillId="0" borderId="3" xfId="1" applyNumberFormat="1" applyFont="1" applyBorder="1" applyAlignment="1"/>
    <xf numFmtId="0" fontId="2" fillId="0" borderId="4" xfId="1" applyNumberFormat="1" applyFont="1" applyBorder="1" applyAlignment="1"/>
    <xf numFmtId="0" fontId="8" fillId="3" borderId="2" xfId="1" applyNumberFormat="1" applyFont="1" applyFill="1" applyBorder="1" applyAlignment="1">
      <alignment horizontal="center"/>
    </xf>
    <xf numFmtId="0" fontId="8" fillId="3" borderId="3" xfId="1" applyNumberFormat="1" applyFont="1" applyFill="1" applyBorder="1" applyAlignment="1">
      <alignment horizontal="center"/>
    </xf>
    <xf numFmtId="0" fontId="8" fillId="3" borderId="4" xfId="1" applyNumberFormat="1" applyFont="1" applyFill="1" applyBorder="1" applyAlignment="1">
      <alignment horizontal="center"/>
    </xf>
    <xf numFmtId="0" fontId="2" fillId="0" borderId="5" xfId="1" applyNumberFormat="1" applyFont="1" applyBorder="1" applyAlignment="1">
      <alignment horizontal="center"/>
    </xf>
    <xf numFmtId="0" fontId="2" fillId="0" borderId="6" xfId="1" applyNumberFormat="1" applyFont="1" applyBorder="1" applyAlignment="1">
      <alignment horizontal="center"/>
    </xf>
    <xf numFmtId="0" fontId="2" fillId="0" borderId="6" xfId="1" applyNumberFormat="1" applyFont="1" applyBorder="1" applyAlignment="1"/>
    <xf numFmtId="0" fontId="2" fillId="0" borderId="7" xfId="1" applyNumberFormat="1" applyFont="1" applyBorder="1" applyAlignment="1"/>
    <xf numFmtId="0" fontId="9" fillId="3" borderId="2" xfId="3" applyNumberFormat="1" applyFont="1" applyFill="1" applyBorder="1" applyAlignment="1">
      <alignment horizontal="center" vertical="center"/>
    </xf>
    <xf numFmtId="0" fontId="9" fillId="3" borderId="3" xfId="3" applyNumberFormat="1" applyFont="1" applyFill="1" applyBorder="1" applyAlignment="1">
      <alignment horizontal="center" vertical="center"/>
    </xf>
    <xf numFmtId="0" fontId="9" fillId="3" borderId="4" xfId="3" applyNumberFormat="1" applyFont="1" applyFill="1" applyBorder="1" applyAlignment="1">
      <alignment horizontal="center" vertical="center"/>
    </xf>
    <xf numFmtId="0" fontId="10" fillId="0" borderId="2" xfId="3" applyNumberFormat="1" applyFont="1" applyBorder="1" applyAlignment="1">
      <alignment horizontal="center" vertical="center" wrapText="1"/>
    </xf>
    <xf numFmtId="14" fontId="10" fillId="0" borderId="3" xfId="3" applyNumberFormat="1" applyFont="1" applyBorder="1" applyAlignment="1">
      <alignment horizontal="center" vertical="center" wrapText="1"/>
    </xf>
    <xf numFmtId="0" fontId="10" fillId="0" borderId="3" xfId="3" applyNumberFormat="1" applyFont="1" applyBorder="1" applyAlignment="1">
      <alignment horizontal="center" vertical="center" wrapText="1"/>
    </xf>
    <xf numFmtId="0" fontId="10" fillId="0" borderId="4" xfId="3" applyNumberFormat="1" applyFont="1" applyBorder="1" applyAlignment="1">
      <alignment horizontal="center" vertical="center" wrapText="1"/>
    </xf>
    <xf numFmtId="0" fontId="10" fillId="0" borderId="5" xfId="3" applyNumberFormat="1" applyFont="1" applyBorder="1" applyAlignment="1">
      <alignment horizontal="center" vertical="center" wrapText="1"/>
    </xf>
    <xf numFmtId="14" fontId="10" fillId="0" borderId="6" xfId="3" applyNumberFormat="1" applyFont="1" applyBorder="1" applyAlignment="1">
      <alignment horizontal="center" vertical="center" wrapText="1"/>
    </xf>
    <xf numFmtId="0" fontId="10" fillId="0" borderId="6" xfId="3" applyNumberFormat="1" applyFont="1" applyBorder="1" applyAlignment="1">
      <alignment horizontal="center" vertical="center" wrapText="1"/>
    </xf>
    <xf numFmtId="0" fontId="10" fillId="0" borderId="7" xfId="3" applyNumberFormat="1" applyFont="1" applyBorder="1" applyAlignment="1">
      <alignment horizontal="center" vertical="center" wrapText="1"/>
    </xf>
    <xf numFmtId="0" fontId="2" fillId="4" borderId="9" xfId="1" applyNumberFormat="1" applyFont="1" applyFill="1" applyBorder="1" applyAlignment="1">
      <alignment horizontal="center"/>
    </xf>
    <xf numFmtId="0" fontId="2" fillId="4" borderId="9" xfId="1" applyNumberFormat="1" applyFont="1" applyFill="1" applyBorder="1" applyAlignment="1"/>
    <xf numFmtId="0" fontId="2" fillId="4" borderId="10" xfId="1" applyNumberFormat="1" applyFont="1" applyFill="1" applyBorder="1" applyAlignment="1"/>
    <xf numFmtId="0" fontId="2" fillId="0" borderId="2" xfId="1" applyNumberFormat="1" applyFont="1" applyBorder="1" applyAlignment="1"/>
    <xf numFmtId="0" fontId="2" fillId="0" borderId="8" xfId="1" applyNumberFormat="1" applyFont="1" applyBorder="1" applyAlignment="1"/>
    <xf numFmtId="0" fontId="2" fillId="4" borderId="2" xfId="1" applyNumberFormat="1" applyFont="1" applyFill="1" applyBorder="1" applyAlignment="1">
      <alignment horizontal="center"/>
    </xf>
    <xf numFmtId="0" fontId="2" fillId="4" borderId="2" xfId="1" applyNumberFormat="1" applyFont="1" applyFill="1" applyBorder="1" applyAlignment="1"/>
    <xf numFmtId="0" fontId="2" fillId="4" borderId="8" xfId="1" applyNumberFormat="1" applyFont="1" applyFill="1" applyBorder="1" applyAlignment="1"/>
    <xf numFmtId="0" fontId="8" fillId="3" borderId="8" xfId="1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1" applyFont="1" applyAlignment="1">
      <alignment horizontal="center"/>
    </xf>
    <xf numFmtId="180" fontId="0" fillId="0" borderId="0" xfId="0" applyNumberFormat="1" applyAlignment="1">
      <alignment horizontal="center" vertical="center"/>
    </xf>
  </cellXfs>
  <cellStyles count="4">
    <cellStyle name="표준" xfId="0" builtinId="0"/>
    <cellStyle name="표준 2" xfId="1" xr:uid="{00000000-0005-0000-0000-000001000000}"/>
    <cellStyle name="표준_기출03" xfId="2" xr:uid="{00000000-0005-0000-0000-000002000000}"/>
    <cellStyle name="표준_무작정따라하기" xfId="3" xr:uid="{00000000-0005-0000-0000-000003000000}"/>
  </cellStyles>
  <dxfs count="8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4.765826157411" createdVersion="6" refreshedVersion="6" minRefreshableVersion="3" recordCount="62" xr:uid="{5C254F3B-580F-4E9F-8996-DF578D25F0F6}">
  <cacheSource type="worksheet">
    <worksheetSource ref="A1:G63" sheet="무작정따라하기"/>
  </cacheSource>
  <cacheFields count="7">
    <cacheField name="제조순번" numFmtId="0">
      <sharedItems count="62">
        <s v="2016-001"/>
        <s v="2016-002"/>
        <s v="2016-003"/>
        <s v="2016-004"/>
        <s v="2016-005"/>
        <s v="2016-006"/>
        <s v="2016-007"/>
        <s v="2016-008"/>
        <s v="2016-009"/>
        <s v="2016-010"/>
        <s v="2016-011"/>
        <s v="2016-012"/>
        <s v="2016-013"/>
        <s v="2016-014"/>
        <s v="2016-015"/>
        <s v="2016-016"/>
        <s v="2016-017"/>
        <s v="2016-018"/>
        <s v="2016-019"/>
        <s v="2016-020"/>
        <s v="2016-021"/>
        <s v="2016-022"/>
        <s v="2016-023"/>
        <s v="2016-024"/>
        <s v="2016-025"/>
        <s v="2016-026"/>
        <s v="2016-027"/>
        <s v="2016-028"/>
        <s v="2016-029"/>
        <s v="2016-030"/>
        <s v="2016-031"/>
        <s v="2016-032"/>
        <s v="2016-033"/>
        <s v="2016-034"/>
        <s v="2016-035"/>
        <s v="2016-036"/>
        <s v="2016-037"/>
        <s v="2016-038"/>
        <s v="2016-039"/>
        <s v="2016-040"/>
        <s v="2016-041"/>
        <s v="2016-042"/>
        <s v="2016-043"/>
        <s v="2016-044"/>
        <s v="2016-045"/>
        <s v="2016-046"/>
        <s v="2016-047"/>
        <s v="2016-048"/>
        <s v="2016-049"/>
        <s v="2016-050"/>
        <s v="2016-051"/>
        <s v="2016-052"/>
        <s v="2016-053"/>
        <s v="2016-054"/>
        <s v="2016-055"/>
        <s v="2016-056"/>
        <s v="2016-057"/>
        <s v="2016-058"/>
        <s v="2016-059"/>
        <s v="2016-060"/>
        <s v="2016-061"/>
        <s v="2016-062"/>
      </sharedItems>
    </cacheField>
    <cacheField name="가공일" numFmtId="14">
      <sharedItems containsSemiMixedTypes="0" containsNonDate="0" containsDate="1" containsString="0" minDate="2016-01-05T00:00:00" maxDate="2016-03-08T00:00:00" count="62"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</sharedItems>
      <fieldGroup base="1">
        <rangePr groupBy="months" startDate="2016-01-05T00:00:00" endDate="2016-03-08T00:00:00"/>
        <groupItems count="14">
          <s v="&lt;2016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>
      <sharedItems containsSemiMixedTypes="0" containsString="0" containsNumber="1" containsInteger="1" minValue="100" maxValue="300"/>
    </cacheField>
    <cacheField name="가공수량" numFmtId="0">
      <sharedItems containsSemiMixedTypes="0" containsString="0" containsNumber="1" containsInteger="1" minValue="500" maxValue="900"/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4.993344212962" createdVersion="6" refreshedVersion="6" minRefreshableVersion="3" recordCount="19" xr:uid="{4FAF89AC-A5C6-4A60-BC60-7AC9267E33AE}">
  <cacheSource type="worksheet">
    <worksheetSource ref="A1:H20" sheet="기출01"/>
  </cacheSource>
  <cacheFields count="9">
    <cacheField name="학번" numFmtId="0">
      <sharedItems count="19">
        <s v="03G124"/>
        <s v="03G204"/>
        <s v="04L789"/>
        <s v="03M171"/>
        <s v="03M174"/>
        <s v="04G521"/>
        <s v="04M121"/>
        <s v="03M781"/>
        <s v="03G321"/>
        <s v="03L121"/>
        <s v="04G142"/>
        <s v="03M111"/>
        <s v="04G121"/>
        <s v="04M147"/>
        <s v="04L362"/>
        <s v="04M143"/>
        <s v="03M012"/>
        <s v="03L321"/>
        <s v="04G741"/>
      </sharedItems>
      <fieldGroup par="8"/>
    </cacheField>
    <cacheField name="수강과목" numFmtId="0">
      <sharedItems count="3">
        <s v="엑셀"/>
        <s v="윈도우"/>
        <s v="액세스"/>
      </sharedItems>
    </cacheField>
    <cacheField name="출석" numFmtId="0">
      <sharedItems containsSemiMixedTypes="0" containsString="0" containsNumber="1" containsInteger="1" minValue="66" maxValue="95"/>
    </cacheField>
    <cacheField name="중간" numFmtId="0">
      <sharedItems containsSemiMixedTypes="0" containsString="0" containsNumber="1" containsInteger="1" minValue="55" maxValue="100" count="16">
        <n v="99"/>
        <n v="77"/>
        <n v="84"/>
        <n v="56"/>
        <n v="80"/>
        <n v="100"/>
        <n v="85"/>
        <n v="88"/>
        <n v="83"/>
        <n v="65"/>
        <n v="93"/>
        <n v="55"/>
        <n v="75"/>
        <n v="98"/>
        <n v="67"/>
        <n v="79"/>
      </sharedItems>
    </cacheField>
    <cacheField name="기말" numFmtId="0">
      <sharedItems containsSemiMixedTypes="0" containsString="0" containsNumber="1" containsInteger="1" minValue="15" maxValue="94" count="13">
        <n v="86"/>
        <n v="63"/>
        <n v="87"/>
        <n v="81"/>
        <n v="85"/>
        <n v="15"/>
        <n v="88"/>
        <n v="75"/>
        <n v="80"/>
        <n v="79"/>
        <n v="94"/>
        <n v="67"/>
        <n v="84"/>
      </sharedItems>
    </cacheField>
    <cacheField name="1차과제" numFmtId="0">
      <sharedItems containsSemiMixedTypes="0" containsString="0" containsNumber="1" containsInteger="1" minValue="55" maxValue="100"/>
    </cacheField>
    <cacheField name="2차과제" numFmtId="0">
      <sharedItems containsSemiMixedTypes="0" containsString="0" containsNumber="1" containsInteger="1" minValue="68" maxValue="100"/>
    </cacheField>
    <cacheField name="평균" numFmtId="0">
      <sharedItems containsSemiMixedTypes="0" containsString="0" containsNumber="1" minValue="66.400000000000006" maxValue="92.600000000000009"/>
    </cacheField>
    <cacheField name="학번2" numFmtId="0" databaseField="0">
      <fieldGroup base="0">
        <discretePr count="19">
          <x v="0"/>
          <x v="0"/>
          <x v="1"/>
          <x v="0"/>
          <x v="0"/>
          <x v="1"/>
          <x v="1"/>
          <x v="0"/>
          <x v="0"/>
          <x v="0"/>
          <x v="1"/>
          <x v="0"/>
          <x v="1"/>
          <x v="1"/>
          <x v="1"/>
          <x v="1"/>
          <x v="0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5.008184143517" createdVersion="6" refreshedVersion="6" minRefreshableVersion="3" recordCount="27" xr:uid="{BF3E622F-D80F-4035-94D8-97E078C1AFD1}">
  <cacheSource type="worksheet">
    <worksheetSource ref="A3:F30" sheet="기출02"/>
  </cacheSource>
  <cacheFields count="7">
    <cacheField name="대출번호" numFmtId="0">
      <sharedItems/>
    </cacheField>
    <cacheField name="성명" numFmtId="0">
      <sharedItems/>
    </cacheField>
    <cacheField name="대출지점" numFmtId="0">
      <sharedItems count="4">
        <s v="서울"/>
        <s v="경기"/>
        <s v="부산"/>
        <s v="충청"/>
      </sharedItems>
    </cacheField>
    <cacheField name="대출종류" numFmtId="0">
      <sharedItems count="4">
        <s v="무보증신용대출"/>
        <s v="국민주택기금대출"/>
        <s v="예부적금담보대출"/>
        <s v="주택자금대출"/>
      </sharedItems>
    </cacheField>
    <cacheField name="대출금액" numFmtId="0">
      <sharedItems containsSemiMixedTypes="0" containsString="0" containsNumber="1" containsInteger="1" minValue="1000000" maxValue="35000000"/>
    </cacheField>
    <cacheField name="기간" numFmtId="0">
      <sharedItems containsSemiMixedTypes="0" containsString="0" containsNumber="1" containsInteger="1" minValue="24" maxValue="60"/>
    </cacheField>
    <cacheField name="월이자 " numFmtId="0" formula="대출금액 *0.05/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5.067383912035" createdVersion="6" refreshedVersion="6" minRefreshableVersion="3" recordCount="17" xr:uid="{E26209C3-D5E1-4636-BDC5-7B195482D479}">
  <cacheSource type="worksheet">
    <worksheetSource ref="A3:E20" sheet="기출03"/>
  </cacheSource>
  <cacheFields count="5">
    <cacheField name="ID" numFmtId="0">
      <sharedItems containsSemiMixedTypes="0" containsString="0" containsNumber="1" containsInteger="1" minValue="1" maxValue="19"/>
    </cacheField>
    <cacheField name="분류" numFmtId="0">
      <sharedItems count="16">
        <s v="시스템설계/분석"/>
        <s v="IT컨설턴트"/>
        <s v="시스템SW개발자"/>
        <s v="보안전문가"/>
        <s v="NW분석가"/>
        <s v="응용SW개발자"/>
        <s v="SM관리자"/>
        <s v="웹개발자"/>
        <s v="웹디자이너"/>
        <s v="통신공학기술자"/>
        <s v="통신케이블설치"/>
        <s v="멀티미디어기획"/>
        <s v="애니메이터"/>
        <s v="PC수리원"/>
        <s v="PC강사"/>
        <s v="정보통신관리자"/>
      </sharedItems>
    </cacheField>
    <cacheField name="업무" numFmtId="0">
      <sharedItems count="2">
        <s v="관리"/>
        <s v="개발"/>
      </sharedItems>
    </cacheField>
    <cacheField name="종사자수" numFmtId="0">
      <sharedItems containsSemiMixedTypes="0" containsString="0" containsNumber="1" containsInteger="1" minValue="1250" maxValue="114054"/>
    </cacheField>
    <cacheField name="월평균임금" numFmtId="0">
      <sharedItems containsSemiMixedTypes="0" containsString="0" containsNumber="1" minValue="124" maxValue="351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150"/>
    <n v="800"/>
    <n v="144000"/>
    <n v="165600"/>
  </r>
  <r>
    <x v="1"/>
    <x v="1"/>
    <x v="0"/>
    <n v="300"/>
    <n v="900"/>
    <n v="162000"/>
    <n v="186300"/>
  </r>
  <r>
    <x v="2"/>
    <x v="2"/>
    <x v="1"/>
    <n v="200"/>
    <n v="580"/>
    <n v="116000"/>
    <n v="150800"/>
  </r>
  <r>
    <x v="3"/>
    <x v="3"/>
    <x v="2"/>
    <n v="100"/>
    <n v="730"/>
    <n v="73000"/>
    <n v="80300"/>
  </r>
  <r>
    <x v="4"/>
    <x v="4"/>
    <x v="3"/>
    <n v="300"/>
    <n v="690"/>
    <n v="207000"/>
    <n v="269100"/>
  </r>
  <r>
    <x v="5"/>
    <x v="5"/>
    <x v="2"/>
    <n v="150"/>
    <n v="880"/>
    <n v="132000"/>
    <n v="171600"/>
  </r>
  <r>
    <x v="6"/>
    <x v="6"/>
    <x v="1"/>
    <n v="200"/>
    <n v="850"/>
    <n v="170000"/>
    <n v="204000"/>
  </r>
  <r>
    <x v="7"/>
    <x v="7"/>
    <x v="4"/>
    <n v="200"/>
    <n v="600"/>
    <n v="120000"/>
    <n v="156000"/>
  </r>
  <r>
    <x v="8"/>
    <x v="8"/>
    <x v="3"/>
    <n v="200"/>
    <n v="610"/>
    <n v="122000"/>
    <n v="158600"/>
  </r>
  <r>
    <x v="9"/>
    <x v="9"/>
    <x v="5"/>
    <n v="150"/>
    <n v="550"/>
    <n v="82500"/>
    <n v="90750"/>
  </r>
  <r>
    <x v="10"/>
    <x v="10"/>
    <x v="5"/>
    <n v="200"/>
    <n v="560"/>
    <n v="112000"/>
    <n v="145600"/>
  </r>
  <r>
    <x v="11"/>
    <x v="11"/>
    <x v="2"/>
    <n v="150"/>
    <n v="710"/>
    <n v="106500"/>
    <n v="138450"/>
  </r>
  <r>
    <x v="12"/>
    <x v="12"/>
    <x v="4"/>
    <n v="200"/>
    <n v="580"/>
    <n v="116000"/>
    <n v="127600"/>
  </r>
  <r>
    <x v="13"/>
    <x v="13"/>
    <x v="5"/>
    <n v="150"/>
    <n v="620"/>
    <n v="93000"/>
    <n v="102300"/>
  </r>
  <r>
    <x v="14"/>
    <x v="14"/>
    <x v="5"/>
    <n v="250"/>
    <n v="600"/>
    <n v="150000"/>
    <n v="165000"/>
  </r>
  <r>
    <x v="15"/>
    <x v="15"/>
    <x v="4"/>
    <n v="200"/>
    <n v="670"/>
    <n v="134000"/>
    <n v="160800"/>
  </r>
  <r>
    <x v="16"/>
    <x v="16"/>
    <x v="3"/>
    <n v="200"/>
    <n v="630"/>
    <n v="126000"/>
    <n v="138600"/>
  </r>
  <r>
    <x v="17"/>
    <x v="17"/>
    <x v="5"/>
    <n v="200"/>
    <n v="550"/>
    <n v="110000"/>
    <n v="132000"/>
  </r>
  <r>
    <x v="18"/>
    <x v="18"/>
    <x v="1"/>
    <n v="300"/>
    <n v="580"/>
    <n v="174000"/>
    <n v="208800"/>
  </r>
  <r>
    <x v="19"/>
    <x v="19"/>
    <x v="5"/>
    <n v="150"/>
    <n v="670"/>
    <n v="100500"/>
    <n v="120600"/>
  </r>
  <r>
    <x v="20"/>
    <x v="20"/>
    <x v="2"/>
    <n v="250"/>
    <n v="830"/>
    <n v="207500"/>
    <n v="249000"/>
  </r>
  <r>
    <x v="21"/>
    <x v="21"/>
    <x v="5"/>
    <n v="300"/>
    <n v="880"/>
    <n v="264000"/>
    <n v="343200"/>
  </r>
  <r>
    <x v="22"/>
    <x v="22"/>
    <x v="1"/>
    <n v="300"/>
    <n v="660"/>
    <n v="198000"/>
    <n v="237600"/>
  </r>
  <r>
    <x v="23"/>
    <x v="23"/>
    <x v="2"/>
    <n v="200"/>
    <n v="870"/>
    <n v="174000"/>
    <n v="191400"/>
  </r>
  <r>
    <x v="24"/>
    <x v="24"/>
    <x v="1"/>
    <n v="200"/>
    <n v="660"/>
    <n v="132000"/>
    <n v="171600"/>
  </r>
  <r>
    <x v="25"/>
    <x v="25"/>
    <x v="2"/>
    <n v="150"/>
    <n v="660"/>
    <n v="99000"/>
    <n v="108900"/>
  </r>
  <r>
    <x v="26"/>
    <x v="26"/>
    <x v="5"/>
    <n v="150"/>
    <n v="520"/>
    <n v="78000"/>
    <n v="101400"/>
  </r>
  <r>
    <x v="27"/>
    <x v="27"/>
    <x v="4"/>
    <n v="300"/>
    <n v="830"/>
    <n v="249000"/>
    <n v="298800"/>
  </r>
  <r>
    <x v="28"/>
    <x v="28"/>
    <x v="5"/>
    <n v="200"/>
    <n v="860"/>
    <n v="172000"/>
    <n v="206400"/>
  </r>
  <r>
    <x v="29"/>
    <x v="29"/>
    <x v="2"/>
    <n v="150"/>
    <n v="790"/>
    <n v="118500"/>
    <n v="130350"/>
  </r>
  <r>
    <x v="30"/>
    <x v="30"/>
    <x v="2"/>
    <n v="200"/>
    <n v="780"/>
    <n v="156000"/>
    <n v="187200"/>
  </r>
  <r>
    <x v="31"/>
    <x v="31"/>
    <x v="2"/>
    <n v="200"/>
    <n v="860"/>
    <n v="172000"/>
    <n v="223600"/>
  </r>
  <r>
    <x v="32"/>
    <x v="32"/>
    <x v="1"/>
    <n v="250"/>
    <n v="770"/>
    <n v="192500"/>
    <n v="250250"/>
  </r>
  <r>
    <x v="33"/>
    <x v="33"/>
    <x v="2"/>
    <n v="150"/>
    <n v="670"/>
    <n v="100500"/>
    <n v="110550"/>
  </r>
  <r>
    <x v="34"/>
    <x v="34"/>
    <x v="4"/>
    <n v="300"/>
    <n v="790"/>
    <n v="237000"/>
    <n v="308100"/>
  </r>
  <r>
    <x v="35"/>
    <x v="35"/>
    <x v="2"/>
    <n v="250"/>
    <n v="670"/>
    <n v="167500"/>
    <n v="184250"/>
  </r>
  <r>
    <x v="36"/>
    <x v="36"/>
    <x v="3"/>
    <n v="200"/>
    <n v="580"/>
    <n v="116000"/>
    <n v="150800"/>
  </r>
  <r>
    <x v="37"/>
    <x v="37"/>
    <x v="4"/>
    <n v="200"/>
    <n v="770"/>
    <n v="154000"/>
    <n v="184800"/>
  </r>
  <r>
    <x v="38"/>
    <x v="38"/>
    <x v="5"/>
    <n v="100"/>
    <n v="810"/>
    <n v="81000"/>
    <n v="89100"/>
  </r>
  <r>
    <x v="39"/>
    <x v="39"/>
    <x v="2"/>
    <n v="200"/>
    <n v="770"/>
    <n v="154000"/>
    <n v="169400"/>
  </r>
  <r>
    <x v="40"/>
    <x v="40"/>
    <x v="2"/>
    <n v="100"/>
    <n v="710"/>
    <n v="71000"/>
    <n v="92300"/>
  </r>
  <r>
    <x v="41"/>
    <x v="41"/>
    <x v="4"/>
    <n v="300"/>
    <n v="860"/>
    <n v="258000"/>
    <n v="309600"/>
  </r>
  <r>
    <x v="42"/>
    <x v="42"/>
    <x v="4"/>
    <n v="200"/>
    <n v="650"/>
    <n v="130000"/>
    <n v="156000"/>
  </r>
  <r>
    <x v="43"/>
    <x v="43"/>
    <x v="3"/>
    <n v="250"/>
    <n v="620"/>
    <n v="155000"/>
    <n v="170500"/>
  </r>
  <r>
    <x v="44"/>
    <x v="44"/>
    <x v="1"/>
    <n v="100"/>
    <n v="800"/>
    <n v="80000"/>
    <n v="88000"/>
  </r>
  <r>
    <x v="45"/>
    <x v="45"/>
    <x v="1"/>
    <n v="200"/>
    <n v="550"/>
    <n v="110000"/>
    <n v="121000"/>
  </r>
  <r>
    <x v="46"/>
    <x v="46"/>
    <x v="1"/>
    <n v="200"/>
    <n v="660"/>
    <n v="132000"/>
    <n v="145200"/>
  </r>
  <r>
    <x v="47"/>
    <x v="47"/>
    <x v="4"/>
    <n v="300"/>
    <n v="870"/>
    <n v="261000"/>
    <n v="339300"/>
  </r>
  <r>
    <x v="48"/>
    <x v="48"/>
    <x v="2"/>
    <n v="200"/>
    <n v="740"/>
    <n v="148000"/>
    <n v="162800"/>
  </r>
  <r>
    <x v="49"/>
    <x v="49"/>
    <x v="4"/>
    <n v="250"/>
    <n v="790"/>
    <n v="197500"/>
    <n v="256750"/>
  </r>
  <r>
    <x v="50"/>
    <x v="50"/>
    <x v="1"/>
    <n v="100"/>
    <n v="710"/>
    <n v="71000"/>
    <n v="85200"/>
  </r>
  <r>
    <x v="51"/>
    <x v="51"/>
    <x v="5"/>
    <n v="100"/>
    <n v="760"/>
    <n v="76000"/>
    <n v="83600"/>
  </r>
  <r>
    <x v="52"/>
    <x v="52"/>
    <x v="2"/>
    <n v="200"/>
    <n v="850"/>
    <n v="170000"/>
    <n v="204000"/>
  </r>
  <r>
    <x v="53"/>
    <x v="53"/>
    <x v="1"/>
    <n v="250"/>
    <n v="760"/>
    <n v="190000"/>
    <n v="228000"/>
  </r>
  <r>
    <x v="54"/>
    <x v="54"/>
    <x v="5"/>
    <n v="250"/>
    <n v="800"/>
    <n v="200000"/>
    <n v="260000"/>
  </r>
  <r>
    <x v="55"/>
    <x v="55"/>
    <x v="4"/>
    <n v="150"/>
    <n v="700"/>
    <n v="105000"/>
    <n v="126000"/>
  </r>
  <r>
    <x v="56"/>
    <x v="56"/>
    <x v="5"/>
    <n v="100"/>
    <n v="850"/>
    <n v="85000"/>
    <n v="93500"/>
  </r>
  <r>
    <x v="57"/>
    <x v="57"/>
    <x v="2"/>
    <n v="200"/>
    <n v="550"/>
    <n v="110000"/>
    <n v="132000"/>
  </r>
  <r>
    <x v="58"/>
    <x v="58"/>
    <x v="1"/>
    <n v="150"/>
    <n v="860"/>
    <n v="129000"/>
    <n v="141900"/>
  </r>
  <r>
    <x v="59"/>
    <x v="59"/>
    <x v="4"/>
    <n v="200"/>
    <n v="500"/>
    <n v="100000"/>
    <n v="110000"/>
  </r>
  <r>
    <x v="60"/>
    <x v="60"/>
    <x v="2"/>
    <n v="100"/>
    <n v="520"/>
    <n v="52000"/>
    <n v="57200"/>
  </r>
  <r>
    <x v="61"/>
    <x v="61"/>
    <x v="5"/>
    <n v="100"/>
    <n v="520"/>
    <n v="52000"/>
    <n v="62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n v="92"/>
    <x v="0"/>
    <x v="0"/>
    <n v="100"/>
    <n v="76"/>
    <n v="90.600000000000009"/>
  </r>
  <r>
    <x v="1"/>
    <x v="0"/>
    <n v="85"/>
    <x v="1"/>
    <x v="1"/>
    <n v="85"/>
    <n v="92"/>
    <n v="80.400000000000006"/>
  </r>
  <r>
    <x v="2"/>
    <x v="1"/>
    <n v="93"/>
    <x v="2"/>
    <x v="2"/>
    <n v="87"/>
    <n v="91"/>
    <n v="88.4"/>
  </r>
  <r>
    <x v="3"/>
    <x v="1"/>
    <n v="66"/>
    <x v="3"/>
    <x v="3"/>
    <n v="55"/>
    <n v="74"/>
    <n v="66.400000000000006"/>
  </r>
  <r>
    <x v="4"/>
    <x v="0"/>
    <n v="72"/>
    <x v="4"/>
    <x v="4"/>
    <n v="77"/>
    <n v="82"/>
    <n v="79.2"/>
  </r>
  <r>
    <x v="5"/>
    <x v="1"/>
    <n v="77"/>
    <x v="5"/>
    <x v="5"/>
    <n v="88"/>
    <n v="92"/>
    <n v="74.400000000000006"/>
  </r>
  <r>
    <x v="6"/>
    <x v="0"/>
    <n v="90"/>
    <x v="6"/>
    <x v="6"/>
    <n v="88"/>
    <n v="79"/>
    <n v="86"/>
  </r>
  <r>
    <x v="7"/>
    <x v="1"/>
    <n v="94"/>
    <x v="7"/>
    <x v="7"/>
    <n v="92"/>
    <n v="88"/>
    <n v="87.4"/>
  </r>
  <r>
    <x v="8"/>
    <x v="0"/>
    <n v="92"/>
    <x v="8"/>
    <x v="8"/>
    <n v="85"/>
    <n v="70"/>
    <n v="82"/>
  </r>
  <r>
    <x v="9"/>
    <x v="0"/>
    <n v="88"/>
    <x v="9"/>
    <x v="9"/>
    <n v="80"/>
    <n v="92"/>
    <n v="80.8"/>
  </r>
  <r>
    <x v="10"/>
    <x v="0"/>
    <n v="95"/>
    <x v="7"/>
    <x v="10"/>
    <n v="89"/>
    <n v="97"/>
    <n v="92.600000000000009"/>
  </r>
  <r>
    <x v="11"/>
    <x v="1"/>
    <n v="77"/>
    <x v="10"/>
    <x v="4"/>
    <n v="79"/>
    <n v="88"/>
    <n v="84.4"/>
  </r>
  <r>
    <x v="12"/>
    <x v="2"/>
    <n v="77"/>
    <x v="11"/>
    <x v="11"/>
    <n v="73"/>
    <n v="68"/>
    <n v="68"/>
  </r>
  <r>
    <x v="13"/>
    <x v="1"/>
    <n v="89"/>
    <x v="12"/>
    <x v="0"/>
    <n v="78"/>
    <n v="82"/>
    <n v="82"/>
  </r>
  <r>
    <x v="14"/>
    <x v="1"/>
    <n v="74"/>
    <x v="6"/>
    <x v="10"/>
    <n v="86"/>
    <n v="82"/>
    <n v="84.2"/>
  </r>
  <r>
    <x v="15"/>
    <x v="2"/>
    <n v="87"/>
    <x v="13"/>
    <x v="12"/>
    <n v="88"/>
    <n v="100"/>
    <n v="91.4"/>
  </r>
  <r>
    <x v="16"/>
    <x v="0"/>
    <n v="73"/>
    <x v="14"/>
    <x v="6"/>
    <n v="75"/>
    <n v="76"/>
    <n v="75.8"/>
  </r>
  <r>
    <x v="17"/>
    <x v="2"/>
    <n v="92"/>
    <x v="2"/>
    <x v="7"/>
    <n v="95"/>
    <n v="83"/>
    <n v="85.8"/>
  </r>
  <r>
    <x v="18"/>
    <x v="2"/>
    <n v="73"/>
    <x v="15"/>
    <x v="4"/>
    <n v="84"/>
    <n v="82"/>
    <n v="80.60000000000000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s v="M01-23"/>
    <s v="구준식"/>
    <x v="0"/>
    <x v="0"/>
    <n v="5000000"/>
    <n v="30"/>
  </r>
  <r>
    <s v="M02-12"/>
    <s v="이진태"/>
    <x v="1"/>
    <x v="0"/>
    <n v="3000000"/>
    <n v="24"/>
  </r>
  <r>
    <s v="M01-27"/>
    <s v="박세희"/>
    <x v="0"/>
    <x v="0"/>
    <n v="8000000"/>
    <n v="30"/>
  </r>
  <r>
    <s v="M03-37"/>
    <s v="박순영"/>
    <x v="2"/>
    <x v="0"/>
    <n v="10000000"/>
    <n v="36"/>
  </r>
  <r>
    <s v="K02-59"/>
    <s v="이성재"/>
    <x v="1"/>
    <x v="1"/>
    <n v="7000000"/>
    <n v="30"/>
  </r>
  <r>
    <s v="Y03-08"/>
    <s v="설진구"/>
    <x v="2"/>
    <x v="2"/>
    <n v="2000000"/>
    <n v="60"/>
  </r>
  <r>
    <s v="M02-14"/>
    <s v="이영민"/>
    <x v="1"/>
    <x v="0"/>
    <n v="5000000"/>
    <n v="30"/>
  </r>
  <r>
    <s v="Y01-07"/>
    <s v="도희철"/>
    <x v="0"/>
    <x v="2"/>
    <n v="3000000"/>
    <n v="36"/>
  </r>
  <r>
    <s v="K04-02"/>
    <s v="우진우"/>
    <x v="3"/>
    <x v="1"/>
    <n v="5000000"/>
    <n v="30"/>
  </r>
  <r>
    <s v="J03-26"/>
    <s v="민애라"/>
    <x v="2"/>
    <x v="3"/>
    <n v="12000000"/>
    <n v="60"/>
  </r>
  <r>
    <s v="K03-05"/>
    <s v="민승렬"/>
    <x v="2"/>
    <x v="1"/>
    <n v="15000000"/>
    <n v="60"/>
  </r>
  <r>
    <s v="M01-37"/>
    <s v="최만용"/>
    <x v="0"/>
    <x v="0"/>
    <n v="5000000"/>
    <n v="36"/>
  </r>
  <r>
    <s v="K01-02"/>
    <s v="오태열"/>
    <x v="0"/>
    <x v="1"/>
    <n v="7000000"/>
    <n v="24"/>
  </r>
  <r>
    <s v="Y04-48"/>
    <s v="장우석"/>
    <x v="3"/>
    <x v="2"/>
    <n v="3000000"/>
    <n v="36"/>
  </r>
  <r>
    <s v="Y02-67"/>
    <s v="형연주"/>
    <x v="1"/>
    <x v="2"/>
    <n v="1000000"/>
    <n v="48"/>
  </r>
  <r>
    <s v="J02-38"/>
    <s v="이민주"/>
    <x v="1"/>
    <x v="3"/>
    <n v="27000000"/>
    <n v="48"/>
  </r>
  <r>
    <s v="J02-01"/>
    <s v="김춘복"/>
    <x v="1"/>
    <x v="3"/>
    <n v="15000000"/>
    <n v="60"/>
  </r>
  <r>
    <s v="M01-64"/>
    <s v="이영진"/>
    <x v="0"/>
    <x v="0"/>
    <n v="3000000"/>
    <n v="24"/>
  </r>
  <r>
    <s v="Y04-15"/>
    <s v="진영태"/>
    <x v="3"/>
    <x v="2"/>
    <n v="3000000"/>
    <n v="36"/>
  </r>
  <r>
    <s v="K02-28"/>
    <s v="임현석"/>
    <x v="1"/>
    <x v="1"/>
    <n v="10000000"/>
    <n v="30"/>
  </r>
  <r>
    <s v="J04-26"/>
    <s v="남지철"/>
    <x v="3"/>
    <x v="3"/>
    <n v="15000000"/>
    <n v="60"/>
  </r>
  <r>
    <s v="K03-52"/>
    <s v="국선재"/>
    <x v="2"/>
    <x v="1"/>
    <n v="6000000"/>
    <n v="24"/>
  </r>
  <r>
    <s v="Y03-88"/>
    <s v="김상진"/>
    <x v="2"/>
    <x v="2"/>
    <n v="4000000"/>
    <n v="48"/>
  </r>
  <r>
    <s v="J04-31"/>
    <s v="민인희"/>
    <x v="3"/>
    <x v="3"/>
    <n v="35000000"/>
    <n v="24"/>
  </r>
  <r>
    <s v="M02-06"/>
    <s v="최철식"/>
    <x v="1"/>
    <x v="0"/>
    <n v="2000000"/>
    <n v="36"/>
  </r>
  <r>
    <s v="K04-35"/>
    <s v="박철형"/>
    <x v="3"/>
    <x v="1"/>
    <n v="5000000"/>
    <n v="24"/>
  </r>
  <r>
    <s v="J01-42"/>
    <s v="성철수"/>
    <x v="0"/>
    <x v="3"/>
    <n v="15000000"/>
    <n v="3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x v="0"/>
    <x v="0"/>
    <n v="4829"/>
    <n v="347.1"/>
  </r>
  <r>
    <n v="2"/>
    <x v="1"/>
    <x v="0"/>
    <n v="14195"/>
    <n v="313.7"/>
  </r>
  <r>
    <n v="3"/>
    <x v="2"/>
    <x v="1"/>
    <n v="8130"/>
    <n v="261"/>
  </r>
  <r>
    <n v="4"/>
    <x v="3"/>
    <x v="0"/>
    <n v="5797"/>
    <n v="258.7"/>
  </r>
  <r>
    <n v="5"/>
    <x v="4"/>
    <x v="0"/>
    <n v="3168"/>
    <n v="233.7"/>
  </r>
  <r>
    <n v="6"/>
    <x v="5"/>
    <x v="1"/>
    <n v="114054"/>
    <n v="225"/>
  </r>
  <r>
    <n v="7"/>
    <x v="6"/>
    <x v="0"/>
    <n v="76947"/>
    <n v="204.3"/>
  </r>
  <r>
    <n v="8"/>
    <x v="7"/>
    <x v="1"/>
    <n v="15887"/>
    <n v="169.2"/>
  </r>
  <r>
    <n v="9"/>
    <x v="8"/>
    <x v="0"/>
    <n v="32931"/>
    <n v="154.4"/>
  </r>
  <r>
    <n v="10"/>
    <x v="9"/>
    <x v="1"/>
    <n v="31080"/>
    <n v="279.8"/>
  </r>
  <r>
    <n v="11"/>
    <x v="10"/>
    <x v="1"/>
    <n v="21786"/>
    <n v="189.4"/>
  </r>
  <r>
    <n v="12"/>
    <x v="11"/>
    <x v="1"/>
    <n v="2258"/>
    <n v="183.9"/>
  </r>
  <r>
    <n v="13"/>
    <x v="12"/>
    <x v="0"/>
    <n v="9470"/>
    <n v="156.69999999999999"/>
  </r>
  <r>
    <n v="14"/>
    <x v="13"/>
    <x v="0"/>
    <n v="37802"/>
    <n v="153.9"/>
  </r>
  <r>
    <n v="15"/>
    <x v="14"/>
    <x v="1"/>
    <n v="21146"/>
    <n v="124"/>
  </r>
  <r>
    <n v="16"/>
    <x v="15"/>
    <x v="0"/>
    <n v="21222"/>
    <n v="351.3"/>
  </r>
  <r>
    <n v="19"/>
    <x v="2"/>
    <x v="1"/>
    <n v="1250"/>
    <n v="2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3EE94-05CA-4076-A40A-AB27810AF67E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I3:L13" firstHeaderRow="0" firstDataRow="1" firstDataCol="2" rowPageCount="1" colPageCount="1"/>
  <pivotFields count="7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compact="0" showAll="0"/>
    <pivotField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1" baseItem="18" numFmtId="10"/>
    <dataField name="평균 : 목표매출액" fld="6" subtotal="average" showDataAs="percentOfCol" baseField="1" baseItem="18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5347E-CFF0-4F45-97D7-2E45FEC7FFA6}" name="피벗 테이블1" cacheId="10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J3:M9" firstHeaderRow="1" firstDataRow="1" firstDataCol="3" rowPageCount="1" colPageCount="1"/>
  <pivotFields count="9">
    <pivotField axis="axisRow" compact="0" outline="0" showAll="0">
      <items count="20">
        <item x="0"/>
        <item x="1"/>
        <item x="8"/>
        <item x="9"/>
        <item x="17"/>
        <item x="16"/>
        <item x="11"/>
        <item x="3"/>
        <item x="4"/>
        <item x="7"/>
        <item x="12"/>
        <item x="10"/>
        <item x="5"/>
        <item x="18"/>
        <item x="14"/>
        <item x="2"/>
        <item x="6"/>
        <item x="1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n="2학년" sd="0" x="0"/>
        <item n="1학년" sd="0" x="1"/>
        <item t="default" sd="0"/>
      </items>
    </pivotField>
  </pivotFields>
  <rowFields count="3">
    <field x="8"/>
    <field x="0"/>
    <field x="-2"/>
  </rowFields>
  <rowItems count="6">
    <i>
      <x/>
      <x v="1048832"/>
      <x/>
    </i>
    <i r="2" i="1">
      <x v="1"/>
    </i>
    <i>
      <x v="1"/>
      <x v="1048832"/>
      <x/>
    </i>
    <i r="2" i="1">
      <x v="1"/>
    </i>
    <i t="grand">
      <x/>
    </i>
    <i t="grand" i="1">
      <x/>
    </i>
  </rowItems>
  <colItems count="1">
    <i/>
  </colItems>
  <pageFields count="1">
    <pageField fld="1" item="2" hier="-1"/>
  </pageFields>
  <dataFields count="2">
    <dataField name="합계 : 중간" fld="3" baseField="0" baseItem="0" numFmtId="178"/>
    <dataField name="합계 : 기말" fld="4" baseField="0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386E8-CA45-43D0-9A59-7199C9C0210D}" name="피벗 테이블2" cacheId="16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H3:L27" firstHeaderRow="0" firstDataRow="1" firstDataCol="2"/>
  <pivotFields count="7">
    <pivotField compact="0" subtotalTop="0" showAll="0"/>
    <pivotField compact="0" subtotalTop="0" showAll="0"/>
    <pivotField axis="axisRow" compact="0" subtotalTop="0" showAll="0">
      <items count="5">
        <item x="0"/>
        <item x="1"/>
        <item x="3"/>
        <item x="2"/>
        <item t="default"/>
      </items>
    </pivotField>
    <pivotField axis="axisRow" compact="0" subtotalTop="0" showAll="0">
      <items count="5">
        <item x="1"/>
        <item x="0"/>
        <item x="2"/>
        <item x="3"/>
        <item t="default"/>
      </items>
    </pivotField>
    <pivotField dataField="1" compact="0" subtotalTop="0" showAll="0"/>
    <pivotField dataField="1" compact="0" subtotalTop="0" showAll="0"/>
    <pivotField dataField="1" compact="0" subtotalTop="0" dragToRow="0" dragToCol="0" dragToPage="0" showAll="0"/>
  </pivotFields>
  <rowFields count="2">
    <field x="2"/>
    <field x="3"/>
  </rowFields>
  <rowItems count="24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/>
    </i>
    <i r="1">
      <x v="1"/>
    </i>
    <i r="1">
      <x v="2"/>
    </i>
    <i r="1">
      <x v="3"/>
    </i>
    <i t="default">
      <x v="1"/>
    </i>
    <i>
      <x v="2"/>
    </i>
    <i r="1">
      <x/>
    </i>
    <i r="1">
      <x v="2"/>
    </i>
    <i r="1">
      <x v="3"/>
    </i>
    <i t="default">
      <x v="2"/>
    </i>
    <i>
      <x v="3"/>
    </i>
    <i r="1">
      <x/>
    </i>
    <i r="1">
      <x v="1"/>
    </i>
    <i r="1">
      <x v="2"/>
    </i>
    <i r="1">
      <x v="3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대출금액" fld="4" baseField="3" baseItem="1" numFmtId="179"/>
    <dataField name="합계 : 기간" fld="5" baseField="0" baseItem="0"/>
    <dataField name="합계 : 월이자 " fld="6" baseField="3" baseItem="1" numFmtId="179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B7B9D-12B9-4008-9656-C16296BCE760}" name="피벗 테이블3" cacheId="2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G4:H21" firstHeaderRow="1" firstDataRow="1" firstDataCol="1" rowPageCount="1" colPageCount="1"/>
  <pivotFields count="5">
    <pivotField showAll="0"/>
    <pivotField axis="axisRow" showAll="0">
      <items count="17">
        <item x="1"/>
        <item x="4"/>
        <item x="14"/>
        <item x="13"/>
        <item x="6"/>
        <item x="11"/>
        <item x="3"/>
        <item x="2"/>
        <item x="0"/>
        <item x="12"/>
        <item x="7"/>
        <item x="8"/>
        <item x="5"/>
        <item x="15"/>
        <item x="9"/>
        <item x="1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2" hier="-1"/>
  </pageFields>
  <dataFields count="1">
    <dataField name="평균 : 월평균임금" fld="4" subtotal="average" baseField="1" baseItem="4" numFmtId="180"/>
  </dataFields>
  <formats count="6">
    <format dxfId="6">
      <pivotArea type="all" dataOnly="0" outline="0" fieldPosition="0"/>
    </format>
    <format dxfId="5">
      <pivotArea outline="0" collapsedLevelsAreSubtotals="1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C4213-85B9-40EF-8569-9AD03ED41F30}" name="표1" displayName="표1" ref="A1:G2" totalsRowShown="0">
  <autoFilter ref="A1:G2" xr:uid="{A54F1EA7-B159-4D23-9B9E-51426FE59591}"/>
  <tableColumns count="7">
    <tableColumn id="1" xr3:uid="{36BC53B3-ECF0-4CD0-9A69-C16C66C06E8C}" name="제조순번"/>
    <tableColumn id="2" xr3:uid="{861F4749-3DAC-4B22-89DF-990218DB7640}" name="가공일" dataDxfId="7"/>
    <tableColumn id="3" xr3:uid="{028AF61C-B433-483E-87D1-1C64F3B5E37D}" name="가공팀"/>
    <tableColumn id="4" xr3:uid="{0DCAE530-BE42-4135-A911-29E4941AB4B0}" name="단위당원가"/>
    <tableColumn id="5" xr3:uid="{9FF80950-FF88-4E28-A408-DF374BF6B3EC}" name="가공수량"/>
    <tableColumn id="6" xr3:uid="{3C463DA3-408D-4CAE-A5B5-B5FA2A1109BD}" name="가공원가"/>
    <tableColumn id="7" xr3:uid="{7EB5DDCE-8783-443D-B40A-543A846C8F32}" name="목표매출액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8BC4DF-CB42-459B-90F7-F699288C742B}" name="표2" displayName="표2" ref="A1:E3" totalsRowShown="0">
  <autoFilter ref="A1:E3" xr:uid="{8E700365-53DD-47FD-BA18-DEBA39A6C161}"/>
  <tableColumns count="5">
    <tableColumn id="1" xr3:uid="{8A053C4E-EFD5-4EFE-B0A2-8455A2D4C3B4}" name="ID"/>
    <tableColumn id="2" xr3:uid="{A25C0825-9124-41A6-880E-5DDF93BB89F6}" name="분류"/>
    <tableColumn id="3" xr3:uid="{F4BCC629-2A05-4B74-BF5F-F2366D9C86A9}" name="업무"/>
    <tableColumn id="4" xr3:uid="{54C1C745-1463-48EB-96B3-DDCA2C4D28D0}" name="종사자수"/>
    <tableColumn id="5" xr3:uid="{A6906471-BDB4-4938-BAB4-29CB96AAAEBF}" name="월평균임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A0E1D-F3C5-42B2-87BD-B1EFE70EE2C1}">
  <dimension ref="A1:G2"/>
  <sheetViews>
    <sheetView workbookViewId="0">
      <selection activeCell="H11" sqref="H11"/>
    </sheetView>
  </sheetViews>
  <sheetFormatPr defaultRowHeight="16.5"/>
  <cols>
    <col min="1" max="1" width="10.25" customWidth="1"/>
    <col min="2" max="2" width="15.625" customWidth="1"/>
    <col min="4" max="4" width="12.125" customWidth="1"/>
    <col min="5" max="6" width="10.25" customWidth="1"/>
    <col min="7" max="7" width="12.125" customWidth="1"/>
  </cols>
  <sheetData>
    <row r="1" spans="1:7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>
      <c r="A2" t="s">
        <v>96</v>
      </c>
      <c r="B2" s="37">
        <v>42433</v>
      </c>
      <c r="C2" t="s">
        <v>36</v>
      </c>
      <c r="D2">
        <v>150</v>
      </c>
      <c r="E2">
        <v>860</v>
      </c>
      <c r="F2">
        <v>129000</v>
      </c>
      <c r="G2">
        <v>141900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90"/>
  <sheetViews>
    <sheetView workbookViewId="0">
      <selection activeCell="L9" sqref="L9"/>
    </sheetView>
  </sheetViews>
  <sheetFormatPr defaultRowHeight="16.5"/>
  <cols>
    <col min="1" max="1" width="10.25" style="1" customWidth="1"/>
    <col min="2" max="2" width="11.125" style="1" bestFit="1" customWidth="1"/>
    <col min="3" max="3" width="9" style="1" customWidth="1"/>
    <col min="4" max="4" width="12.125" style="1" customWidth="1"/>
    <col min="5" max="6" width="10.25" style="1" customWidth="1"/>
    <col min="7" max="7" width="12.125" style="1" customWidth="1"/>
    <col min="8" max="8" width="9" style="1"/>
    <col min="9" max="9" width="12.625" style="1" bestFit="1" customWidth="1"/>
    <col min="10" max="10" width="9.125" style="1" bestFit="1" customWidth="1"/>
    <col min="11" max="12" width="16.875" style="1" bestFit="1" customWidth="1"/>
    <col min="13" max="16384" width="9" style="1"/>
  </cols>
  <sheetData>
    <row r="1" spans="1:12">
      <c r="A1" s="16" t="s">
        <v>25</v>
      </c>
      <c r="B1" s="17" t="s">
        <v>26</v>
      </c>
      <c r="C1" s="17" t="s">
        <v>27</v>
      </c>
      <c r="D1" s="17" t="s">
        <v>28</v>
      </c>
      <c r="E1" s="17" t="s">
        <v>29</v>
      </c>
      <c r="F1" s="17" t="s">
        <v>30</v>
      </c>
      <c r="G1" s="18" t="s">
        <v>31</v>
      </c>
      <c r="I1" s="36" t="s">
        <v>25</v>
      </c>
      <c r="J1" t="s">
        <v>199</v>
      </c>
    </row>
    <row r="2" spans="1:12">
      <c r="A2" s="19" t="s">
        <v>32</v>
      </c>
      <c r="B2" s="20">
        <v>42374</v>
      </c>
      <c r="C2" s="21" t="s">
        <v>33</v>
      </c>
      <c r="D2" s="21">
        <v>150</v>
      </c>
      <c r="E2" s="21">
        <v>800</v>
      </c>
      <c r="F2" s="21">
        <v>144000</v>
      </c>
      <c r="G2" s="22">
        <v>165600</v>
      </c>
    </row>
    <row r="3" spans="1:12">
      <c r="A3" s="19" t="s">
        <v>34</v>
      </c>
      <c r="B3" s="20">
        <v>42375</v>
      </c>
      <c r="C3" s="21" t="s">
        <v>33</v>
      </c>
      <c r="D3" s="21">
        <v>300</v>
      </c>
      <c r="E3" s="21">
        <v>900</v>
      </c>
      <c r="F3" s="21">
        <v>162000</v>
      </c>
      <c r="G3" s="22">
        <v>186300</v>
      </c>
      <c r="I3" s="36" t="s">
        <v>27</v>
      </c>
      <c r="J3" s="36" t="s">
        <v>26</v>
      </c>
      <c r="K3" t="s">
        <v>200</v>
      </c>
      <c r="L3" t="s">
        <v>201</v>
      </c>
    </row>
    <row r="4" spans="1:12">
      <c r="A4" s="19" t="s">
        <v>35</v>
      </c>
      <c r="B4" s="20">
        <v>42376</v>
      </c>
      <c r="C4" s="21" t="s">
        <v>36</v>
      </c>
      <c r="D4" s="21">
        <v>200</v>
      </c>
      <c r="E4" s="21">
        <v>580</v>
      </c>
      <c r="F4" s="21">
        <v>116000</v>
      </c>
      <c r="G4" s="22">
        <v>150800</v>
      </c>
      <c r="I4" t="s">
        <v>33</v>
      </c>
      <c r="J4"/>
      <c r="K4" s="38">
        <v>1.0555555555555556</v>
      </c>
      <c r="L4" s="39">
        <v>1.0217613888167245</v>
      </c>
    </row>
    <row r="5" spans="1:12">
      <c r="A5" s="19" t="s">
        <v>37</v>
      </c>
      <c r="B5" s="20">
        <v>42377</v>
      </c>
      <c r="C5" s="21" t="s">
        <v>38</v>
      </c>
      <c r="D5" s="21">
        <v>100</v>
      </c>
      <c r="E5" s="21">
        <v>730</v>
      </c>
      <c r="F5" s="21">
        <v>73000</v>
      </c>
      <c r="G5" s="22">
        <v>80300</v>
      </c>
      <c r="I5"/>
      <c r="J5" s="37" t="s">
        <v>202</v>
      </c>
      <c r="K5" s="38">
        <v>1.0555555555555556</v>
      </c>
      <c r="L5" s="39">
        <v>1.0217613888167245</v>
      </c>
    </row>
    <row r="6" spans="1:12">
      <c r="A6" s="19" t="s">
        <v>39</v>
      </c>
      <c r="B6" s="20">
        <v>42378</v>
      </c>
      <c r="C6" s="21" t="s">
        <v>40</v>
      </c>
      <c r="D6" s="21">
        <v>300</v>
      </c>
      <c r="E6" s="21">
        <v>690</v>
      </c>
      <c r="F6" s="21">
        <v>207000</v>
      </c>
      <c r="G6" s="22">
        <v>269100</v>
      </c>
      <c r="I6" t="s">
        <v>36</v>
      </c>
      <c r="J6"/>
      <c r="K6" s="38">
        <v>0.95781893004115215</v>
      </c>
      <c r="L6" s="39">
        <v>0.98350703730305489</v>
      </c>
    </row>
    <row r="7" spans="1:12">
      <c r="A7" s="19" t="s">
        <v>41</v>
      </c>
      <c r="B7" s="20">
        <v>42379</v>
      </c>
      <c r="C7" s="21" t="s">
        <v>38</v>
      </c>
      <c r="D7" s="21">
        <v>150</v>
      </c>
      <c r="E7" s="21">
        <v>880</v>
      </c>
      <c r="F7" s="21">
        <v>132000</v>
      </c>
      <c r="G7" s="22">
        <v>171600</v>
      </c>
      <c r="I7"/>
      <c r="J7" s="37" t="s">
        <v>202</v>
      </c>
      <c r="K7" s="38">
        <v>1.125925925925926</v>
      </c>
      <c r="L7" s="39">
        <v>1.1298317465653989</v>
      </c>
    </row>
    <row r="8" spans="1:12">
      <c r="A8" s="19" t="s">
        <v>42</v>
      </c>
      <c r="B8" s="20">
        <v>42380</v>
      </c>
      <c r="C8" s="21" t="s">
        <v>36</v>
      </c>
      <c r="D8" s="21">
        <v>200</v>
      </c>
      <c r="E8" s="21">
        <v>850</v>
      </c>
      <c r="F8" s="21">
        <v>170000</v>
      </c>
      <c r="G8" s="22">
        <v>204000</v>
      </c>
      <c r="I8"/>
      <c r="J8" s="37" t="s">
        <v>203</v>
      </c>
      <c r="K8" s="38">
        <v>0.86008230452674905</v>
      </c>
      <c r="L8" s="39">
        <v>0.8881494159777088</v>
      </c>
    </row>
    <row r="9" spans="1:12">
      <c r="A9" s="19" t="s">
        <v>43</v>
      </c>
      <c r="B9" s="20">
        <v>42381</v>
      </c>
      <c r="C9" s="21" t="s">
        <v>44</v>
      </c>
      <c r="D9" s="21">
        <v>200</v>
      </c>
      <c r="E9" s="21">
        <v>600</v>
      </c>
      <c r="F9" s="21">
        <v>120000</v>
      </c>
      <c r="G9" s="22">
        <v>156000</v>
      </c>
      <c r="I9"/>
      <c r="J9" s="37" t="s">
        <v>204</v>
      </c>
      <c r="K9" s="38">
        <v>0.70370370370370372</v>
      </c>
      <c r="L9" s="39">
        <v>0.8240292189434113</v>
      </c>
    </row>
    <row r="10" spans="1:12">
      <c r="A10" s="19" t="s">
        <v>45</v>
      </c>
      <c r="B10" s="20">
        <v>42382</v>
      </c>
      <c r="C10" s="21" t="s">
        <v>40</v>
      </c>
      <c r="D10" s="21">
        <v>200</v>
      </c>
      <c r="E10" s="21">
        <v>610</v>
      </c>
      <c r="F10" s="21">
        <v>122000</v>
      </c>
      <c r="G10" s="22">
        <v>158600</v>
      </c>
      <c r="I10" t="s">
        <v>40</v>
      </c>
      <c r="J10"/>
      <c r="K10" s="38">
        <v>1.0790123456790124</v>
      </c>
      <c r="L10" s="39">
        <v>1.0308785549459787</v>
      </c>
    </row>
    <row r="11" spans="1:12">
      <c r="A11" s="19" t="s">
        <v>46</v>
      </c>
      <c r="B11" s="20">
        <v>42383</v>
      </c>
      <c r="C11" s="21" t="s">
        <v>47</v>
      </c>
      <c r="D11" s="21">
        <v>150</v>
      </c>
      <c r="E11" s="21">
        <v>550</v>
      </c>
      <c r="F11" s="21">
        <v>82500</v>
      </c>
      <c r="G11" s="22">
        <v>90750</v>
      </c>
      <c r="I11"/>
      <c r="J11" s="37" t="s">
        <v>202</v>
      </c>
      <c r="K11" s="38">
        <v>1.094650205761317</v>
      </c>
      <c r="L11" s="39">
        <v>1.096189209978045</v>
      </c>
    </row>
    <row r="12" spans="1:12">
      <c r="A12" s="19" t="s">
        <v>48</v>
      </c>
      <c r="B12" s="20">
        <v>42384</v>
      </c>
      <c r="C12" s="21" t="s">
        <v>47</v>
      </c>
      <c r="D12" s="21">
        <v>200</v>
      </c>
      <c r="E12" s="21">
        <v>560</v>
      </c>
      <c r="F12" s="21">
        <v>112000</v>
      </c>
      <c r="G12" s="22">
        <v>145600</v>
      </c>
      <c r="I12"/>
      <c r="J12" s="37" t="s">
        <v>203</v>
      </c>
      <c r="K12" s="38">
        <v>1.0555555555555556</v>
      </c>
      <c r="L12" s="39">
        <v>0.93291257239787895</v>
      </c>
    </row>
    <row r="13" spans="1:12">
      <c r="A13" s="19" t="s">
        <v>49</v>
      </c>
      <c r="B13" s="20">
        <v>42385</v>
      </c>
      <c r="C13" s="21" t="s">
        <v>38</v>
      </c>
      <c r="D13" s="21">
        <v>150</v>
      </c>
      <c r="E13" s="21">
        <v>710</v>
      </c>
      <c r="F13" s="21">
        <v>106500</v>
      </c>
      <c r="G13" s="22">
        <v>138450</v>
      </c>
      <c r="I13" t="s">
        <v>198</v>
      </c>
      <c r="J13"/>
      <c r="K13" s="38">
        <v>1</v>
      </c>
      <c r="L13" s="39">
        <v>1</v>
      </c>
    </row>
    <row r="14" spans="1:12">
      <c r="A14" s="19" t="s">
        <v>50</v>
      </c>
      <c r="B14" s="20">
        <v>42386</v>
      </c>
      <c r="C14" s="21" t="s">
        <v>44</v>
      </c>
      <c r="D14" s="21">
        <v>200</v>
      </c>
      <c r="E14" s="21">
        <v>580</v>
      </c>
      <c r="F14" s="21">
        <v>116000</v>
      </c>
      <c r="G14" s="22">
        <v>127600</v>
      </c>
      <c r="I14"/>
      <c r="J14"/>
      <c r="K14"/>
      <c r="L14"/>
    </row>
    <row r="15" spans="1:12">
      <c r="A15" s="19" t="s">
        <v>51</v>
      </c>
      <c r="B15" s="20">
        <v>42387</v>
      </c>
      <c r="C15" s="21" t="s">
        <v>47</v>
      </c>
      <c r="D15" s="21">
        <v>150</v>
      </c>
      <c r="E15" s="21">
        <v>620</v>
      </c>
      <c r="F15" s="21">
        <v>93000</v>
      </c>
      <c r="G15" s="22">
        <v>102300</v>
      </c>
      <c r="I15"/>
      <c r="J15"/>
      <c r="K15"/>
      <c r="L15"/>
    </row>
    <row r="16" spans="1:12">
      <c r="A16" s="19" t="s">
        <v>52</v>
      </c>
      <c r="B16" s="20">
        <v>42388</v>
      </c>
      <c r="C16" s="21" t="s">
        <v>47</v>
      </c>
      <c r="D16" s="21">
        <v>250</v>
      </c>
      <c r="E16" s="21">
        <v>600</v>
      </c>
      <c r="F16" s="21">
        <v>150000</v>
      </c>
      <c r="G16" s="22">
        <v>165000</v>
      </c>
      <c r="I16"/>
      <c r="J16"/>
      <c r="K16"/>
      <c r="L16"/>
    </row>
    <row r="17" spans="1:12">
      <c r="A17" s="19" t="s">
        <v>53</v>
      </c>
      <c r="B17" s="20">
        <v>42389</v>
      </c>
      <c r="C17" s="21" t="s">
        <v>44</v>
      </c>
      <c r="D17" s="21">
        <v>200</v>
      </c>
      <c r="E17" s="21">
        <v>670</v>
      </c>
      <c r="F17" s="21">
        <v>134000</v>
      </c>
      <c r="G17" s="22">
        <v>160800</v>
      </c>
      <c r="I17"/>
      <c r="J17"/>
      <c r="K17"/>
      <c r="L17"/>
    </row>
    <row r="18" spans="1:12">
      <c r="A18" s="19" t="s">
        <v>54</v>
      </c>
      <c r="B18" s="20">
        <v>42390</v>
      </c>
      <c r="C18" s="21" t="s">
        <v>40</v>
      </c>
      <c r="D18" s="21">
        <v>200</v>
      </c>
      <c r="E18" s="21">
        <v>630</v>
      </c>
      <c r="F18" s="21">
        <v>126000</v>
      </c>
      <c r="G18" s="22">
        <v>138600</v>
      </c>
      <c r="I18"/>
      <c r="J18"/>
      <c r="K18"/>
      <c r="L18"/>
    </row>
    <row r="19" spans="1:12">
      <c r="A19" s="19" t="s">
        <v>55</v>
      </c>
      <c r="B19" s="20">
        <v>42391</v>
      </c>
      <c r="C19" s="21" t="s">
        <v>47</v>
      </c>
      <c r="D19" s="21">
        <v>200</v>
      </c>
      <c r="E19" s="21">
        <v>550</v>
      </c>
      <c r="F19" s="21">
        <v>110000</v>
      </c>
      <c r="G19" s="22">
        <v>132000</v>
      </c>
      <c r="I19"/>
      <c r="J19"/>
      <c r="K19"/>
      <c r="L19"/>
    </row>
    <row r="20" spans="1:12">
      <c r="A20" s="19" t="s">
        <v>56</v>
      </c>
      <c r="B20" s="20">
        <v>42392</v>
      </c>
      <c r="C20" s="21" t="s">
        <v>36</v>
      </c>
      <c r="D20" s="21">
        <v>300</v>
      </c>
      <c r="E20" s="21">
        <v>580</v>
      </c>
      <c r="F20" s="21">
        <v>174000</v>
      </c>
      <c r="G20" s="22">
        <v>208800</v>
      </c>
      <c r="I20"/>
      <c r="J20"/>
      <c r="K20"/>
      <c r="L20"/>
    </row>
    <row r="21" spans="1:12">
      <c r="A21" s="19" t="s">
        <v>57</v>
      </c>
      <c r="B21" s="20">
        <v>42393</v>
      </c>
      <c r="C21" s="21" t="s">
        <v>47</v>
      </c>
      <c r="D21" s="21">
        <v>150</v>
      </c>
      <c r="E21" s="21">
        <v>670</v>
      </c>
      <c r="F21" s="21">
        <v>100500</v>
      </c>
      <c r="G21" s="22">
        <v>120600</v>
      </c>
      <c r="I21"/>
      <c r="J21"/>
      <c r="K21"/>
      <c r="L21"/>
    </row>
    <row r="22" spans="1:12">
      <c r="A22" s="19" t="s">
        <v>58</v>
      </c>
      <c r="B22" s="20">
        <v>42394</v>
      </c>
      <c r="C22" s="21" t="s">
        <v>38</v>
      </c>
      <c r="D22" s="21">
        <v>250</v>
      </c>
      <c r="E22" s="21">
        <v>830</v>
      </c>
      <c r="F22" s="21">
        <v>207500</v>
      </c>
      <c r="G22" s="22">
        <v>249000</v>
      </c>
      <c r="I22"/>
      <c r="J22"/>
      <c r="K22"/>
      <c r="L22"/>
    </row>
    <row r="23" spans="1:12">
      <c r="A23" s="19" t="s">
        <v>59</v>
      </c>
      <c r="B23" s="20">
        <v>42395</v>
      </c>
      <c r="C23" s="21" t="s">
        <v>47</v>
      </c>
      <c r="D23" s="21">
        <v>300</v>
      </c>
      <c r="E23" s="21">
        <v>880</v>
      </c>
      <c r="F23" s="21">
        <v>264000</v>
      </c>
      <c r="G23" s="22">
        <v>343200</v>
      </c>
      <c r="I23"/>
      <c r="J23"/>
      <c r="K23"/>
      <c r="L23"/>
    </row>
    <row r="24" spans="1:12">
      <c r="A24" s="19" t="s">
        <v>60</v>
      </c>
      <c r="B24" s="20">
        <v>42396</v>
      </c>
      <c r="C24" s="21" t="s">
        <v>36</v>
      </c>
      <c r="D24" s="21">
        <v>300</v>
      </c>
      <c r="E24" s="21">
        <v>660</v>
      </c>
      <c r="F24" s="21">
        <v>198000</v>
      </c>
      <c r="G24" s="22">
        <v>237600</v>
      </c>
      <c r="I24"/>
      <c r="J24"/>
      <c r="K24"/>
      <c r="L24"/>
    </row>
    <row r="25" spans="1:12">
      <c r="A25" s="19" t="s">
        <v>61</v>
      </c>
      <c r="B25" s="20">
        <v>42397</v>
      </c>
      <c r="C25" s="21" t="s">
        <v>38</v>
      </c>
      <c r="D25" s="21">
        <v>200</v>
      </c>
      <c r="E25" s="21">
        <v>870</v>
      </c>
      <c r="F25" s="21">
        <v>174000</v>
      </c>
      <c r="G25" s="22">
        <v>191400</v>
      </c>
      <c r="I25"/>
      <c r="J25"/>
      <c r="K25"/>
      <c r="L25"/>
    </row>
    <row r="26" spans="1:12">
      <c r="A26" s="19" t="s">
        <v>62</v>
      </c>
      <c r="B26" s="20">
        <v>42398</v>
      </c>
      <c r="C26" s="21" t="s">
        <v>36</v>
      </c>
      <c r="D26" s="21">
        <v>200</v>
      </c>
      <c r="E26" s="21">
        <v>660</v>
      </c>
      <c r="F26" s="21">
        <v>132000</v>
      </c>
      <c r="G26" s="22">
        <v>171600</v>
      </c>
      <c r="I26"/>
      <c r="J26"/>
      <c r="K26"/>
      <c r="L26"/>
    </row>
    <row r="27" spans="1:12">
      <c r="A27" s="19" t="s">
        <v>63</v>
      </c>
      <c r="B27" s="20">
        <v>42399</v>
      </c>
      <c r="C27" s="21" t="s">
        <v>38</v>
      </c>
      <c r="D27" s="21">
        <v>150</v>
      </c>
      <c r="E27" s="21">
        <v>660</v>
      </c>
      <c r="F27" s="21">
        <v>99000</v>
      </c>
      <c r="G27" s="22">
        <v>108900</v>
      </c>
      <c r="I27"/>
      <c r="J27"/>
      <c r="K27"/>
      <c r="L27"/>
    </row>
    <row r="28" spans="1:12">
      <c r="A28" s="19" t="s">
        <v>64</v>
      </c>
      <c r="B28" s="20">
        <v>42400</v>
      </c>
      <c r="C28" s="21" t="s">
        <v>47</v>
      </c>
      <c r="D28" s="21">
        <v>150</v>
      </c>
      <c r="E28" s="21">
        <v>520</v>
      </c>
      <c r="F28" s="21">
        <v>78000</v>
      </c>
      <c r="G28" s="22">
        <v>101400</v>
      </c>
      <c r="I28"/>
      <c r="J28"/>
      <c r="K28"/>
      <c r="L28"/>
    </row>
    <row r="29" spans="1:12">
      <c r="A29" s="19" t="s">
        <v>65</v>
      </c>
      <c r="B29" s="20">
        <v>42401</v>
      </c>
      <c r="C29" s="21" t="s">
        <v>44</v>
      </c>
      <c r="D29" s="21">
        <v>300</v>
      </c>
      <c r="E29" s="21">
        <v>830</v>
      </c>
      <c r="F29" s="21">
        <v>249000</v>
      </c>
      <c r="G29" s="22">
        <v>298800</v>
      </c>
      <c r="I29"/>
      <c r="J29"/>
      <c r="K29"/>
      <c r="L29"/>
    </row>
    <row r="30" spans="1:12">
      <c r="A30" s="19" t="s">
        <v>66</v>
      </c>
      <c r="B30" s="20">
        <v>42402</v>
      </c>
      <c r="C30" s="21" t="s">
        <v>47</v>
      </c>
      <c r="D30" s="21">
        <v>200</v>
      </c>
      <c r="E30" s="21">
        <v>860</v>
      </c>
      <c r="F30" s="21">
        <v>172000</v>
      </c>
      <c r="G30" s="22">
        <v>206400</v>
      </c>
      <c r="I30"/>
      <c r="J30"/>
      <c r="K30"/>
      <c r="L30"/>
    </row>
    <row r="31" spans="1:12">
      <c r="A31" s="19" t="s">
        <v>67</v>
      </c>
      <c r="B31" s="20">
        <v>42403</v>
      </c>
      <c r="C31" s="21" t="s">
        <v>38</v>
      </c>
      <c r="D31" s="21">
        <v>150</v>
      </c>
      <c r="E31" s="21">
        <v>790</v>
      </c>
      <c r="F31" s="21">
        <v>118500</v>
      </c>
      <c r="G31" s="22">
        <v>130350</v>
      </c>
      <c r="I31"/>
      <c r="J31"/>
      <c r="K31"/>
      <c r="L31"/>
    </row>
    <row r="32" spans="1:12">
      <c r="A32" s="19" t="s">
        <v>68</v>
      </c>
      <c r="B32" s="20">
        <v>42404</v>
      </c>
      <c r="C32" s="21" t="s">
        <v>38</v>
      </c>
      <c r="D32" s="21">
        <v>200</v>
      </c>
      <c r="E32" s="21">
        <v>780</v>
      </c>
      <c r="F32" s="21">
        <v>156000</v>
      </c>
      <c r="G32" s="22">
        <v>187200</v>
      </c>
      <c r="I32"/>
      <c r="J32"/>
      <c r="K32"/>
      <c r="L32"/>
    </row>
    <row r="33" spans="1:12">
      <c r="A33" s="19" t="s">
        <v>69</v>
      </c>
      <c r="B33" s="20">
        <v>42405</v>
      </c>
      <c r="C33" s="21" t="s">
        <v>38</v>
      </c>
      <c r="D33" s="21">
        <v>200</v>
      </c>
      <c r="E33" s="21">
        <v>860</v>
      </c>
      <c r="F33" s="21">
        <v>172000</v>
      </c>
      <c r="G33" s="22">
        <v>223600</v>
      </c>
      <c r="I33"/>
      <c r="J33"/>
      <c r="K33"/>
      <c r="L33"/>
    </row>
    <row r="34" spans="1:12">
      <c r="A34" s="19" t="s">
        <v>70</v>
      </c>
      <c r="B34" s="20">
        <v>42406</v>
      </c>
      <c r="C34" s="21" t="s">
        <v>36</v>
      </c>
      <c r="D34" s="21">
        <v>250</v>
      </c>
      <c r="E34" s="21">
        <v>770</v>
      </c>
      <c r="F34" s="21">
        <v>192500</v>
      </c>
      <c r="G34" s="22">
        <v>250250</v>
      </c>
      <c r="I34"/>
      <c r="J34"/>
      <c r="K34"/>
      <c r="L34"/>
    </row>
    <row r="35" spans="1:12">
      <c r="A35" s="19" t="s">
        <v>71</v>
      </c>
      <c r="B35" s="20">
        <v>42407</v>
      </c>
      <c r="C35" s="21" t="s">
        <v>38</v>
      </c>
      <c r="D35" s="21">
        <v>150</v>
      </c>
      <c r="E35" s="21">
        <v>670</v>
      </c>
      <c r="F35" s="21">
        <v>100500</v>
      </c>
      <c r="G35" s="22">
        <v>110550</v>
      </c>
      <c r="I35"/>
      <c r="J35"/>
      <c r="K35"/>
      <c r="L35"/>
    </row>
    <row r="36" spans="1:12">
      <c r="A36" s="19" t="s">
        <v>72</v>
      </c>
      <c r="B36" s="20">
        <v>42408</v>
      </c>
      <c r="C36" s="21" t="s">
        <v>44</v>
      </c>
      <c r="D36" s="21">
        <v>300</v>
      </c>
      <c r="E36" s="21">
        <v>790</v>
      </c>
      <c r="F36" s="21">
        <v>237000</v>
      </c>
      <c r="G36" s="22">
        <v>308100</v>
      </c>
      <c r="I36"/>
      <c r="J36"/>
      <c r="K36"/>
      <c r="L36"/>
    </row>
    <row r="37" spans="1:12">
      <c r="A37" s="19" t="s">
        <v>73</v>
      </c>
      <c r="B37" s="20">
        <v>42409</v>
      </c>
      <c r="C37" s="21" t="s">
        <v>38</v>
      </c>
      <c r="D37" s="21">
        <v>250</v>
      </c>
      <c r="E37" s="21">
        <v>670</v>
      </c>
      <c r="F37" s="21">
        <v>167500</v>
      </c>
      <c r="G37" s="22">
        <v>184250</v>
      </c>
      <c r="I37"/>
      <c r="J37"/>
      <c r="K37"/>
      <c r="L37"/>
    </row>
    <row r="38" spans="1:12">
      <c r="A38" s="19" t="s">
        <v>74</v>
      </c>
      <c r="B38" s="20">
        <v>42410</v>
      </c>
      <c r="C38" s="21" t="s">
        <v>40</v>
      </c>
      <c r="D38" s="21">
        <v>200</v>
      </c>
      <c r="E38" s="21">
        <v>580</v>
      </c>
      <c r="F38" s="21">
        <v>116000</v>
      </c>
      <c r="G38" s="22">
        <v>150800</v>
      </c>
      <c r="I38"/>
      <c r="J38"/>
      <c r="K38"/>
      <c r="L38"/>
    </row>
    <row r="39" spans="1:12">
      <c r="A39" s="19" t="s">
        <v>75</v>
      </c>
      <c r="B39" s="20">
        <v>42411</v>
      </c>
      <c r="C39" s="21" t="s">
        <v>44</v>
      </c>
      <c r="D39" s="21">
        <v>200</v>
      </c>
      <c r="E39" s="21">
        <v>770</v>
      </c>
      <c r="F39" s="21">
        <v>154000</v>
      </c>
      <c r="G39" s="22">
        <v>184800</v>
      </c>
      <c r="I39"/>
      <c r="J39"/>
      <c r="K39"/>
      <c r="L39"/>
    </row>
    <row r="40" spans="1:12">
      <c r="A40" s="19" t="s">
        <v>76</v>
      </c>
      <c r="B40" s="20">
        <v>42412</v>
      </c>
      <c r="C40" s="21" t="s">
        <v>47</v>
      </c>
      <c r="D40" s="21">
        <v>100</v>
      </c>
      <c r="E40" s="21">
        <v>810</v>
      </c>
      <c r="F40" s="21">
        <v>81000</v>
      </c>
      <c r="G40" s="22">
        <v>89100</v>
      </c>
      <c r="I40"/>
      <c r="J40"/>
      <c r="K40"/>
      <c r="L40"/>
    </row>
    <row r="41" spans="1:12">
      <c r="A41" s="19" t="s">
        <v>77</v>
      </c>
      <c r="B41" s="20">
        <v>42413</v>
      </c>
      <c r="C41" s="21" t="s">
        <v>38</v>
      </c>
      <c r="D41" s="21">
        <v>200</v>
      </c>
      <c r="E41" s="21">
        <v>770</v>
      </c>
      <c r="F41" s="21">
        <v>154000</v>
      </c>
      <c r="G41" s="22">
        <v>169400</v>
      </c>
      <c r="I41"/>
      <c r="J41"/>
      <c r="K41"/>
      <c r="L41"/>
    </row>
    <row r="42" spans="1:12">
      <c r="A42" s="19" t="s">
        <v>78</v>
      </c>
      <c r="B42" s="20">
        <v>42414</v>
      </c>
      <c r="C42" s="21" t="s">
        <v>38</v>
      </c>
      <c r="D42" s="21">
        <v>100</v>
      </c>
      <c r="E42" s="21">
        <v>710</v>
      </c>
      <c r="F42" s="21">
        <v>71000</v>
      </c>
      <c r="G42" s="22">
        <v>92300</v>
      </c>
      <c r="I42"/>
      <c r="J42"/>
      <c r="K42"/>
      <c r="L42"/>
    </row>
    <row r="43" spans="1:12">
      <c r="A43" s="19" t="s">
        <v>79</v>
      </c>
      <c r="B43" s="20">
        <v>42415</v>
      </c>
      <c r="C43" s="21" t="s">
        <v>44</v>
      </c>
      <c r="D43" s="21">
        <v>300</v>
      </c>
      <c r="E43" s="21">
        <v>860</v>
      </c>
      <c r="F43" s="21">
        <v>258000</v>
      </c>
      <c r="G43" s="22">
        <v>309600</v>
      </c>
      <c r="I43"/>
      <c r="J43"/>
      <c r="K43"/>
      <c r="L43"/>
    </row>
    <row r="44" spans="1:12">
      <c r="A44" s="19" t="s">
        <v>80</v>
      </c>
      <c r="B44" s="20">
        <v>42416</v>
      </c>
      <c r="C44" s="21" t="s">
        <v>44</v>
      </c>
      <c r="D44" s="21">
        <v>200</v>
      </c>
      <c r="E44" s="21">
        <v>650</v>
      </c>
      <c r="F44" s="21">
        <v>130000</v>
      </c>
      <c r="G44" s="22">
        <v>156000</v>
      </c>
      <c r="I44"/>
      <c r="J44"/>
      <c r="K44"/>
      <c r="L44"/>
    </row>
    <row r="45" spans="1:12">
      <c r="A45" s="19" t="s">
        <v>81</v>
      </c>
      <c r="B45" s="20">
        <v>42417</v>
      </c>
      <c r="C45" s="21" t="s">
        <v>40</v>
      </c>
      <c r="D45" s="21">
        <v>250</v>
      </c>
      <c r="E45" s="21">
        <v>620</v>
      </c>
      <c r="F45" s="21">
        <v>155000</v>
      </c>
      <c r="G45" s="22">
        <v>170500</v>
      </c>
      <c r="I45"/>
      <c r="J45"/>
      <c r="K45"/>
      <c r="L45"/>
    </row>
    <row r="46" spans="1:12">
      <c r="A46" s="19" t="s">
        <v>82</v>
      </c>
      <c r="B46" s="20">
        <v>42418</v>
      </c>
      <c r="C46" s="21" t="s">
        <v>36</v>
      </c>
      <c r="D46" s="21">
        <v>100</v>
      </c>
      <c r="E46" s="21">
        <v>800</v>
      </c>
      <c r="F46" s="21">
        <v>80000</v>
      </c>
      <c r="G46" s="22">
        <v>88000</v>
      </c>
      <c r="I46"/>
      <c r="J46"/>
      <c r="K46"/>
      <c r="L46"/>
    </row>
    <row r="47" spans="1:12">
      <c r="A47" s="19" t="s">
        <v>83</v>
      </c>
      <c r="B47" s="20">
        <v>42419</v>
      </c>
      <c r="C47" s="21" t="s">
        <v>36</v>
      </c>
      <c r="D47" s="21">
        <v>200</v>
      </c>
      <c r="E47" s="21">
        <v>550</v>
      </c>
      <c r="F47" s="21">
        <v>110000</v>
      </c>
      <c r="G47" s="22">
        <v>121000</v>
      </c>
      <c r="I47"/>
      <c r="J47"/>
      <c r="K47"/>
      <c r="L47"/>
    </row>
    <row r="48" spans="1:12">
      <c r="A48" s="19" t="s">
        <v>84</v>
      </c>
      <c r="B48" s="20">
        <v>42420</v>
      </c>
      <c r="C48" s="21" t="s">
        <v>36</v>
      </c>
      <c r="D48" s="21">
        <v>200</v>
      </c>
      <c r="E48" s="21">
        <v>660</v>
      </c>
      <c r="F48" s="21">
        <v>132000</v>
      </c>
      <c r="G48" s="22">
        <v>145200</v>
      </c>
      <c r="I48"/>
      <c r="J48"/>
      <c r="K48"/>
      <c r="L48"/>
    </row>
    <row r="49" spans="1:12">
      <c r="A49" s="19" t="s">
        <v>85</v>
      </c>
      <c r="B49" s="20">
        <v>42421</v>
      </c>
      <c r="C49" s="21" t="s">
        <v>44</v>
      </c>
      <c r="D49" s="21">
        <v>300</v>
      </c>
      <c r="E49" s="21">
        <v>870</v>
      </c>
      <c r="F49" s="21">
        <v>261000</v>
      </c>
      <c r="G49" s="22">
        <v>339300</v>
      </c>
      <c r="I49"/>
      <c r="J49"/>
      <c r="K49"/>
      <c r="L49"/>
    </row>
    <row r="50" spans="1:12">
      <c r="A50" s="19" t="s">
        <v>86</v>
      </c>
      <c r="B50" s="20">
        <v>42422</v>
      </c>
      <c r="C50" s="21" t="s">
        <v>38</v>
      </c>
      <c r="D50" s="21">
        <v>200</v>
      </c>
      <c r="E50" s="21">
        <v>740</v>
      </c>
      <c r="F50" s="21">
        <v>148000</v>
      </c>
      <c r="G50" s="22">
        <v>162800</v>
      </c>
      <c r="I50"/>
      <c r="J50"/>
      <c r="K50"/>
      <c r="L50"/>
    </row>
    <row r="51" spans="1:12">
      <c r="A51" s="19" t="s">
        <v>87</v>
      </c>
      <c r="B51" s="20">
        <v>42423</v>
      </c>
      <c r="C51" s="21" t="s">
        <v>44</v>
      </c>
      <c r="D51" s="21">
        <v>250</v>
      </c>
      <c r="E51" s="21">
        <v>790</v>
      </c>
      <c r="F51" s="21">
        <v>197500</v>
      </c>
      <c r="G51" s="22">
        <v>256750</v>
      </c>
      <c r="I51"/>
      <c r="J51"/>
      <c r="K51"/>
      <c r="L51"/>
    </row>
    <row r="52" spans="1:12">
      <c r="A52" s="19" t="s">
        <v>88</v>
      </c>
      <c r="B52" s="20">
        <v>42424</v>
      </c>
      <c r="C52" s="21" t="s">
        <v>36</v>
      </c>
      <c r="D52" s="21">
        <v>100</v>
      </c>
      <c r="E52" s="21">
        <v>710</v>
      </c>
      <c r="F52" s="21">
        <v>71000</v>
      </c>
      <c r="G52" s="22">
        <v>85200</v>
      </c>
      <c r="I52"/>
      <c r="J52"/>
      <c r="K52"/>
      <c r="L52"/>
    </row>
    <row r="53" spans="1:12">
      <c r="A53" s="19" t="s">
        <v>89</v>
      </c>
      <c r="B53" s="20">
        <v>42425</v>
      </c>
      <c r="C53" s="21" t="s">
        <v>47</v>
      </c>
      <c r="D53" s="21">
        <v>100</v>
      </c>
      <c r="E53" s="21">
        <v>760</v>
      </c>
      <c r="F53" s="21">
        <v>76000</v>
      </c>
      <c r="G53" s="22">
        <v>83600</v>
      </c>
      <c r="I53"/>
      <c r="J53"/>
      <c r="K53"/>
      <c r="L53"/>
    </row>
    <row r="54" spans="1:12">
      <c r="A54" s="19" t="s">
        <v>90</v>
      </c>
      <c r="B54" s="20">
        <v>42426</v>
      </c>
      <c r="C54" s="21" t="s">
        <v>38</v>
      </c>
      <c r="D54" s="21">
        <v>200</v>
      </c>
      <c r="E54" s="21">
        <v>850</v>
      </c>
      <c r="F54" s="21">
        <v>170000</v>
      </c>
      <c r="G54" s="22">
        <v>204000</v>
      </c>
      <c r="I54"/>
      <c r="J54"/>
      <c r="K54"/>
      <c r="L54"/>
    </row>
    <row r="55" spans="1:12">
      <c r="A55" s="19" t="s">
        <v>91</v>
      </c>
      <c r="B55" s="20">
        <v>42427</v>
      </c>
      <c r="C55" s="21" t="s">
        <v>36</v>
      </c>
      <c r="D55" s="21">
        <v>250</v>
      </c>
      <c r="E55" s="21">
        <v>760</v>
      </c>
      <c r="F55" s="21">
        <v>190000</v>
      </c>
      <c r="G55" s="22">
        <v>228000</v>
      </c>
      <c r="I55"/>
      <c r="J55"/>
      <c r="K55"/>
      <c r="L55"/>
    </row>
    <row r="56" spans="1:12">
      <c r="A56" s="19" t="s">
        <v>92</v>
      </c>
      <c r="B56" s="20">
        <v>42428</v>
      </c>
      <c r="C56" s="21" t="s">
        <v>47</v>
      </c>
      <c r="D56" s="21">
        <v>250</v>
      </c>
      <c r="E56" s="21">
        <v>800</v>
      </c>
      <c r="F56" s="21">
        <v>200000</v>
      </c>
      <c r="G56" s="22">
        <v>260000</v>
      </c>
      <c r="I56"/>
      <c r="J56"/>
      <c r="K56"/>
      <c r="L56"/>
    </row>
    <row r="57" spans="1:12">
      <c r="A57" s="19" t="s">
        <v>93</v>
      </c>
      <c r="B57" s="20">
        <v>42430</v>
      </c>
      <c r="C57" s="21" t="s">
        <v>44</v>
      </c>
      <c r="D57" s="21">
        <v>150</v>
      </c>
      <c r="E57" s="21">
        <v>700</v>
      </c>
      <c r="F57" s="21">
        <v>105000</v>
      </c>
      <c r="G57" s="22">
        <v>126000</v>
      </c>
      <c r="I57"/>
      <c r="J57"/>
      <c r="K57"/>
      <c r="L57"/>
    </row>
    <row r="58" spans="1:12">
      <c r="A58" s="19" t="s">
        <v>94</v>
      </c>
      <c r="B58" s="20">
        <v>42431</v>
      </c>
      <c r="C58" s="21" t="s">
        <v>47</v>
      </c>
      <c r="D58" s="21">
        <v>100</v>
      </c>
      <c r="E58" s="21">
        <v>850</v>
      </c>
      <c r="F58" s="21">
        <v>85000</v>
      </c>
      <c r="G58" s="22">
        <v>93500</v>
      </c>
      <c r="I58"/>
      <c r="J58"/>
      <c r="K58"/>
      <c r="L58"/>
    </row>
    <row r="59" spans="1:12">
      <c r="A59" s="19" t="s">
        <v>95</v>
      </c>
      <c r="B59" s="20">
        <v>42432</v>
      </c>
      <c r="C59" s="21" t="s">
        <v>38</v>
      </c>
      <c r="D59" s="21">
        <v>200</v>
      </c>
      <c r="E59" s="21">
        <v>550</v>
      </c>
      <c r="F59" s="21">
        <v>110000</v>
      </c>
      <c r="G59" s="22">
        <v>132000</v>
      </c>
      <c r="I59"/>
      <c r="J59"/>
      <c r="K59"/>
      <c r="L59"/>
    </row>
    <row r="60" spans="1:12">
      <c r="A60" s="19" t="s">
        <v>96</v>
      </c>
      <c r="B60" s="20">
        <v>42433</v>
      </c>
      <c r="C60" s="21" t="s">
        <v>36</v>
      </c>
      <c r="D60" s="21">
        <v>150</v>
      </c>
      <c r="E60" s="21">
        <v>860</v>
      </c>
      <c r="F60" s="21">
        <v>129000</v>
      </c>
      <c r="G60" s="22">
        <v>141900</v>
      </c>
      <c r="I60"/>
      <c r="J60"/>
      <c r="K60"/>
      <c r="L60"/>
    </row>
    <row r="61" spans="1:12">
      <c r="A61" s="19" t="s">
        <v>97</v>
      </c>
      <c r="B61" s="20">
        <v>42434</v>
      </c>
      <c r="C61" s="21" t="s">
        <v>44</v>
      </c>
      <c r="D61" s="21">
        <v>200</v>
      </c>
      <c r="E61" s="21">
        <v>500</v>
      </c>
      <c r="F61" s="21">
        <v>100000</v>
      </c>
      <c r="G61" s="22">
        <v>110000</v>
      </c>
      <c r="I61"/>
      <c r="J61"/>
      <c r="K61"/>
      <c r="L61"/>
    </row>
    <row r="62" spans="1:12">
      <c r="A62" s="19" t="s">
        <v>98</v>
      </c>
      <c r="B62" s="20">
        <v>42435</v>
      </c>
      <c r="C62" s="21" t="s">
        <v>38</v>
      </c>
      <c r="D62" s="21">
        <v>100</v>
      </c>
      <c r="E62" s="21">
        <v>520</v>
      </c>
      <c r="F62" s="21">
        <v>52000</v>
      </c>
      <c r="G62" s="22">
        <v>57200</v>
      </c>
      <c r="I62"/>
      <c r="J62"/>
      <c r="K62"/>
      <c r="L62"/>
    </row>
    <row r="63" spans="1:12">
      <c r="A63" s="23" t="s">
        <v>99</v>
      </c>
      <c r="B63" s="24">
        <v>42436</v>
      </c>
      <c r="C63" s="25" t="s">
        <v>47</v>
      </c>
      <c r="D63" s="25">
        <v>100</v>
      </c>
      <c r="E63" s="25">
        <v>520</v>
      </c>
      <c r="F63" s="25">
        <v>52000</v>
      </c>
      <c r="G63" s="26">
        <v>62400</v>
      </c>
      <c r="I63"/>
      <c r="J63"/>
      <c r="K63"/>
      <c r="L63"/>
    </row>
    <row r="64" spans="1:12">
      <c r="I64"/>
      <c r="J64"/>
      <c r="K64"/>
      <c r="L64"/>
    </row>
    <row r="65" spans="9:12">
      <c r="I65"/>
      <c r="J65"/>
      <c r="K65"/>
      <c r="L65"/>
    </row>
    <row r="66" spans="9:12">
      <c r="I66"/>
      <c r="J66"/>
      <c r="K66"/>
      <c r="L66"/>
    </row>
    <row r="67" spans="9:12">
      <c r="I67"/>
      <c r="J67"/>
      <c r="K67"/>
      <c r="L67"/>
    </row>
    <row r="68" spans="9:12">
      <c r="I68"/>
      <c r="J68"/>
      <c r="K68"/>
      <c r="L68"/>
    </row>
    <row r="69" spans="9:12">
      <c r="I69"/>
      <c r="J69"/>
      <c r="K69"/>
      <c r="L69"/>
    </row>
    <row r="70" spans="9:12">
      <c r="I70"/>
      <c r="J70"/>
      <c r="K70"/>
      <c r="L70"/>
    </row>
    <row r="71" spans="9:12">
      <c r="I71"/>
      <c r="J71"/>
      <c r="K71"/>
      <c r="L71"/>
    </row>
    <row r="72" spans="9:12">
      <c r="I72"/>
      <c r="J72"/>
      <c r="K72"/>
      <c r="L72"/>
    </row>
    <row r="73" spans="9:12">
      <c r="I73"/>
      <c r="J73"/>
      <c r="K73"/>
    </row>
    <row r="74" spans="9:12">
      <c r="I74"/>
      <c r="J74"/>
      <c r="K74"/>
    </row>
    <row r="75" spans="9:12">
      <c r="I75"/>
      <c r="J75"/>
      <c r="K75"/>
    </row>
    <row r="76" spans="9:12">
      <c r="I76"/>
      <c r="J76"/>
      <c r="K76"/>
    </row>
    <row r="77" spans="9:12">
      <c r="I77"/>
      <c r="J77"/>
      <c r="K77"/>
    </row>
    <row r="78" spans="9:12">
      <c r="I78"/>
      <c r="J78"/>
      <c r="K78"/>
    </row>
    <row r="79" spans="9:12">
      <c r="I79"/>
      <c r="J79"/>
      <c r="K79"/>
    </row>
    <row r="80" spans="9:12">
      <c r="I80"/>
      <c r="J80"/>
      <c r="K80"/>
    </row>
    <row r="81" spans="9:11">
      <c r="I81"/>
      <c r="J81"/>
      <c r="K81"/>
    </row>
    <row r="82" spans="9:11">
      <c r="I82"/>
      <c r="J82"/>
      <c r="K82"/>
    </row>
    <row r="83" spans="9:11">
      <c r="I83"/>
      <c r="J83"/>
      <c r="K83"/>
    </row>
    <row r="84" spans="9:11">
      <c r="I84"/>
      <c r="J84"/>
      <c r="K84"/>
    </row>
    <row r="85" spans="9:11">
      <c r="I85"/>
      <c r="J85"/>
      <c r="K85"/>
    </row>
    <row r="86" spans="9:11">
      <c r="I86"/>
      <c r="J86"/>
      <c r="K86"/>
    </row>
    <row r="87" spans="9:11">
      <c r="I87"/>
      <c r="J87"/>
      <c r="K87"/>
    </row>
    <row r="88" spans="9:11">
      <c r="I88"/>
      <c r="J88"/>
      <c r="K88"/>
    </row>
    <row r="89" spans="9:11">
      <c r="I89"/>
      <c r="J89"/>
      <c r="K89"/>
    </row>
    <row r="90" spans="9:11">
      <c r="I90"/>
      <c r="J90"/>
      <c r="K90"/>
    </row>
    <row r="91" spans="9:11">
      <c r="I91"/>
      <c r="J91"/>
      <c r="K91"/>
    </row>
    <row r="92" spans="9:11">
      <c r="I92"/>
      <c r="J92"/>
      <c r="K92"/>
    </row>
    <row r="93" spans="9:11">
      <c r="I93"/>
      <c r="J93"/>
      <c r="K93"/>
    </row>
    <row r="94" spans="9:11">
      <c r="I94"/>
      <c r="J94"/>
      <c r="K94"/>
    </row>
    <row r="95" spans="9:11">
      <c r="I95"/>
      <c r="J95"/>
      <c r="K95"/>
    </row>
    <row r="96" spans="9:11">
      <c r="I96"/>
      <c r="J96"/>
      <c r="K96"/>
    </row>
    <row r="97" spans="9:11">
      <c r="I97"/>
      <c r="J97"/>
      <c r="K97"/>
    </row>
    <row r="98" spans="9:11">
      <c r="I98"/>
      <c r="J98"/>
      <c r="K98"/>
    </row>
    <row r="99" spans="9:11">
      <c r="I99"/>
      <c r="J99"/>
      <c r="K99"/>
    </row>
    <row r="100" spans="9:11">
      <c r="I100"/>
      <c r="J100"/>
      <c r="K100"/>
    </row>
    <row r="101" spans="9:11">
      <c r="I101"/>
      <c r="J101"/>
      <c r="K101"/>
    </row>
    <row r="102" spans="9:11">
      <c r="I102"/>
      <c r="J102"/>
      <c r="K102"/>
    </row>
    <row r="103" spans="9:11">
      <c r="I103"/>
      <c r="J103"/>
      <c r="K103"/>
    </row>
    <row r="104" spans="9:11">
      <c r="I104"/>
      <c r="J104"/>
      <c r="K104"/>
    </row>
    <row r="105" spans="9:11">
      <c r="I105"/>
      <c r="J105"/>
      <c r="K105"/>
    </row>
    <row r="106" spans="9:11">
      <c r="I106"/>
      <c r="J106"/>
      <c r="K106"/>
    </row>
    <row r="107" spans="9:11">
      <c r="I107"/>
      <c r="J107"/>
      <c r="K107"/>
    </row>
    <row r="108" spans="9:11">
      <c r="I108"/>
      <c r="J108"/>
      <c r="K108"/>
    </row>
    <row r="109" spans="9:11">
      <c r="I109"/>
      <c r="J109"/>
      <c r="K109"/>
    </row>
    <row r="110" spans="9:11">
      <c r="I110"/>
      <c r="J110"/>
      <c r="K110"/>
    </row>
    <row r="111" spans="9:11">
      <c r="I111"/>
      <c r="J111"/>
      <c r="K111"/>
    </row>
    <row r="112" spans="9:11">
      <c r="I112"/>
      <c r="J112"/>
      <c r="K112"/>
    </row>
    <row r="113" spans="9:11">
      <c r="I113"/>
      <c r="J113"/>
      <c r="K113"/>
    </row>
    <row r="114" spans="9:11">
      <c r="I114"/>
      <c r="J114"/>
      <c r="K114"/>
    </row>
    <row r="115" spans="9:11">
      <c r="I115"/>
      <c r="J115"/>
      <c r="K115"/>
    </row>
    <row r="116" spans="9:11">
      <c r="I116"/>
      <c r="J116"/>
      <c r="K116"/>
    </row>
    <row r="117" spans="9:11">
      <c r="I117"/>
      <c r="J117"/>
      <c r="K117"/>
    </row>
    <row r="118" spans="9:11">
      <c r="I118"/>
      <c r="J118"/>
      <c r="K118"/>
    </row>
    <row r="119" spans="9:11">
      <c r="I119"/>
      <c r="J119"/>
      <c r="K119"/>
    </row>
    <row r="120" spans="9:11">
      <c r="I120"/>
      <c r="J120"/>
      <c r="K120"/>
    </row>
    <row r="121" spans="9:11">
      <c r="I121"/>
      <c r="J121"/>
      <c r="K121"/>
    </row>
    <row r="122" spans="9:11">
      <c r="I122"/>
      <c r="J122"/>
      <c r="K122"/>
    </row>
    <row r="123" spans="9:11">
      <c r="I123"/>
      <c r="J123"/>
      <c r="K123"/>
    </row>
    <row r="124" spans="9:11">
      <c r="I124"/>
      <c r="J124"/>
      <c r="K124"/>
    </row>
    <row r="125" spans="9:11">
      <c r="I125"/>
      <c r="J125"/>
      <c r="K125"/>
    </row>
    <row r="126" spans="9:11">
      <c r="I126"/>
      <c r="J126"/>
      <c r="K126"/>
    </row>
    <row r="127" spans="9:11">
      <c r="I127"/>
      <c r="J127"/>
      <c r="K127"/>
    </row>
    <row r="128" spans="9:11">
      <c r="I128"/>
      <c r="J128"/>
      <c r="K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</sheetData>
  <phoneticPr fontId="3" type="noConversion"/>
  <pageMargins left="0.75" right="0.75" top="1" bottom="1" header="0.5" footer="0.5"/>
  <pageSetup paperSize="9" orientation="portrait" horizontalDpi="4294967292" verticalDpi="0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47"/>
  <sheetViews>
    <sheetView workbookViewId="0">
      <selection activeCell="L14" sqref="L14"/>
    </sheetView>
  </sheetViews>
  <sheetFormatPr defaultRowHeight="16.5"/>
  <cols>
    <col min="1" max="1" width="9" style="1"/>
    <col min="2" max="2" width="10.25" style="1" customWidth="1"/>
    <col min="3" max="5" width="9" style="1"/>
    <col min="6" max="7" width="9.5" style="1" customWidth="1"/>
    <col min="8" max="9" width="9" style="1"/>
    <col min="10" max="10" width="9" style="1" bestFit="1" customWidth="1"/>
    <col min="11" max="11" width="8.5" style="1" bestFit="1" customWidth="1"/>
    <col min="12" max="12" width="10.625" style="1" bestFit="1" customWidth="1"/>
    <col min="13" max="13" width="7" style="1" bestFit="1" customWidth="1"/>
    <col min="14" max="16384" width="9" style="1"/>
  </cols>
  <sheetData>
    <row r="1" spans="1:13" ht="17.25" thickBot="1">
      <c r="A1" s="9" t="s">
        <v>100</v>
      </c>
      <c r="B1" s="9" t="s">
        <v>101</v>
      </c>
      <c r="C1" s="9" t="s">
        <v>102</v>
      </c>
      <c r="D1" s="9" t="s">
        <v>103</v>
      </c>
      <c r="E1" s="9" t="s">
        <v>104</v>
      </c>
      <c r="F1" s="9" t="s">
        <v>105</v>
      </c>
      <c r="G1" s="9" t="s">
        <v>106</v>
      </c>
      <c r="H1" s="35" t="s">
        <v>107</v>
      </c>
      <c r="J1" s="36" t="s">
        <v>101</v>
      </c>
      <c r="K1" t="s">
        <v>112</v>
      </c>
    </row>
    <row r="2" spans="1:13">
      <c r="A2" s="27" t="s">
        <v>108</v>
      </c>
      <c r="B2" s="27" t="s">
        <v>109</v>
      </c>
      <c r="C2" s="28">
        <v>92</v>
      </c>
      <c r="D2" s="28">
        <v>99</v>
      </c>
      <c r="E2" s="28">
        <v>86</v>
      </c>
      <c r="F2" s="28">
        <v>100</v>
      </c>
      <c r="G2" s="28">
        <v>76</v>
      </c>
      <c r="H2" s="29">
        <v>90.600000000000009</v>
      </c>
    </row>
    <row r="3" spans="1:13">
      <c r="A3" s="5" t="s">
        <v>110</v>
      </c>
      <c r="B3" s="5" t="s">
        <v>109</v>
      </c>
      <c r="C3" s="30">
        <v>85</v>
      </c>
      <c r="D3" s="30">
        <v>77</v>
      </c>
      <c r="E3" s="30">
        <v>63</v>
      </c>
      <c r="F3" s="30">
        <v>85</v>
      </c>
      <c r="G3" s="30">
        <v>92</v>
      </c>
      <c r="H3" s="31">
        <v>80.400000000000006</v>
      </c>
      <c r="J3" s="36" t="s">
        <v>208</v>
      </c>
      <c r="K3" s="36" t="s">
        <v>100</v>
      </c>
      <c r="L3" s="36" t="s">
        <v>211</v>
      </c>
      <c r="M3"/>
    </row>
    <row r="4" spans="1:13">
      <c r="A4" s="32" t="s">
        <v>111</v>
      </c>
      <c r="B4" s="32" t="s">
        <v>112</v>
      </c>
      <c r="C4" s="33">
        <v>93</v>
      </c>
      <c r="D4" s="33">
        <v>84</v>
      </c>
      <c r="E4" s="33">
        <v>87</v>
      </c>
      <c r="F4" s="33">
        <v>87</v>
      </c>
      <c r="G4" s="33">
        <v>91</v>
      </c>
      <c r="H4" s="34">
        <v>88.4</v>
      </c>
      <c r="J4" t="s">
        <v>209</v>
      </c>
      <c r="K4"/>
      <c r="L4" t="s">
        <v>206</v>
      </c>
      <c r="M4" s="41">
        <v>237</v>
      </c>
    </row>
    <row r="5" spans="1:13">
      <c r="A5" s="5" t="s">
        <v>113</v>
      </c>
      <c r="B5" s="5" t="s">
        <v>112</v>
      </c>
      <c r="C5" s="30">
        <v>66</v>
      </c>
      <c r="D5" s="30">
        <v>56</v>
      </c>
      <c r="E5" s="30">
        <v>81</v>
      </c>
      <c r="F5" s="30">
        <v>55</v>
      </c>
      <c r="G5" s="30">
        <v>74</v>
      </c>
      <c r="H5" s="31">
        <v>66.400000000000006</v>
      </c>
      <c r="J5"/>
      <c r="K5"/>
      <c r="L5" t="s">
        <v>207</v>
      </c>
      <c r="M5" s="41">
        <v>241</v>
      </c>
    </row>
    <row r="6" spans="1:13">
      <c r="A6" s="32" t="s">
        <v>114</v>
      </c>
      <c r="B6" s="32" t="s">
        <v>109</v>
      </c>
      <c r="C6" s="33">
        <v>72</v>
      </c>
      <c r="D6" s="33">
        <v>80</v>
      </c>
      <c r="E6" s="33">
        <v>85</v>
      </c>
      <c r="F6" s="33">
        <v>77</v>
      </c>
      <c r="G6" s="33">
        <v>82</v>
      </c>
      <c r="H6" s="34">
        <v>79.2</v>
      </c>
      <c r="J6" t="s">
        <v>210</v>
      </c>
      <c r="K6"/>
      <c r="L6" t="s">
        <v>206</v>
      </c>
      <c r="M6" s="41">
        <v>344</v>
      </c>
    </row>
    <row r="7" spans="1:13">
      <c r="A7" s="5" t="s">
        <v>115</v>
      </c>
      <c r="B7" s="5" t="s">
        <v>112</v>
      </c>
      <c r="C7" s="30">
        <v>77</v>
      </c>
      <c r="D7" s="30">
        <v>100</v>
      </c>
      <c r="E7" s="30">
        <v>15</v>
      </c>
      <c r="F7" s="30">
        <v>88</v>
      </c>
      <c r="G7" s="30">
        <v>92</v>
      </c>
      <c r="H7" s="31">
        <v>74.400000000000006</v>
      </c>
      <c r="J7"/>
      <c r="K7"/>
      <c r="L7" t="s">
        <v>207</v>
      </c>
      <c r="M7" s="41">
        <v>282</v>
      </c>
    </row>
    <row r="8" spans="1:13">
      <c r="A8" s="32" t="s">
        <v>116</v>
      </c>
      <c r="B8" s="32" t="s">
        <v>109</v>
      </c>
      <c r="C8" s="33">
        <v>90</v>
      </c>
      <c r="D8" s="33">
        <v>85</v>
      </c>
      <c r="E8" s="33">
        <v>88</v>
      </c>
      <c r="F8" s="33">
        <v>88</v>
      </c>
      <c r="G8" s="33">
        <v>79</v>
      </c>
      <c r="H8" s="34">
        <v>86</v>
      </c>
      <c r="J8" t="s">
        <v>212</v>
      </c>
      <c r="K8"/>
      <c r="L8"/>
      <c r="M8" s="41">
        <v>581</v>
      </c>
    </row>
    <row r="9" spans="1:13">
      <c r="A9" s="5" t="s">
        <v>117</v>
      </c>
      <c r="B9" s="5" t="s">
        <v>112</v>
      </c>
      <c r="C9" s="30">
        <v>94</v>
      </c>
      <c r="D9" s="30">
        <v>88</v>
      </c>
      <c r="E9" s="30">
        <v>75</v>
      </c>
      <c r="F9" s="30">
        <v>92</v>
      </c>
      <c r="G9" s="30">
        <v>88</v>
      </c>
      <c r="H9" s="31">
        <v>87.4</v>
      </c>
      <c r="J9" t="s">
        <v>213</v>
      </c>
      <c r="K9"/>
      <c r="L9"/>
      <c r="M9" s="41">
        <v>523</v>
      </c>
    </row>
    <row r="10" spans="1:13">
      <c r="A10" s="32" t="s">
        <v>118</v>
      </c>
      <c r="B10" s="32" t="s">
        <v>109</v>
      </c>
      <c r="C10" s="33">
        <v>92</v>
      </c>
      <c r="D10" s="33">
        <v>83</v>
      </c>
      <c r="E10" s="33">
        <v>80</v>
      </c>
      <c r="F10" s="33">
        <v>85</v>
      </c>
      <c r="G10" s="33">
        <v>70</v>
      </c>
      <c r="H10" s="34">
        <v>82</v>
      </c>
      <c r="J10"/>
      <c r="K10"/>
      <c r="L10"/>
      <c r="M10"/>
    </row>
    <row r="11" spans="1:13">
      <c r="A11" s="5" t="s">
        <v>119</v>
      </c>
      <c r="B11" s="5" t="s">
        <v>109</v>
      </c>
      <c r="C11" s="30">
        <v>88</v>
      </c>
      <c r="D11" s="30">
        <v>65</v>
      </c>
      <c r="E11" s="30">
        <v>79</v>
      </c>
      <c r="F11" s="30">
        <v>80</v>
      </c>
      <c r="G11" s="30">
        <v>92</v>
      </c>
      <c r="H11" s="31">
        <v>80.8</v>
      </c>
      <c r="J11"/>
      <c r="K11"/>
      <c r="L11"/>
      <c r="M11"/>
    </row>
    <row r="12" spans="1:13">
      <c r="A12" s="32" t="s">
        <v>120</v>
      </c>
      <c r="B12" s="32" t="s">
        <v>109</v>
      </c>
      <c r="C12" s="33">
        <v>95</v>
      </c>
      <c r="D12" s="33">
        <v>88</v>
      </c>
      <c r="E12" s="33">
        <v>94</v>
      </c>
      <c r="F12" s="33">
        <v>89</v>
      </c>
      <c r="G12" s="33">
        <v>97</v>
      </c>
      <c r="H12" s="34">
        <v>92.600000000000009</v>
      </c>
      <c r="J12"/>
      <c r="K12"/>
      <c r="L12"/>
      <c r="M12"/>
    </row>
    <row r="13" spans="1:13">
      <c r="A13" s="5" t="s">
        <v>121</v>
      </c>
      <c r="B13" s="5" t="s">
        <v>112</v>
      </c>
      <c r="C13" s="30">
        <v>77</v>
      </c>
      <c r="D13" s="30">
        <v>93</v>
      </c>
      <c r="E13" s="30">
        <v>85</v>
      </c>
      <c r="F13" s="30">
        <v>79</v>
      </c>
      <c r="G13" s="30">
        <v>88</v>
      </c>
      <c r="H13" s="31">
        <v>84.4</v>
      </c>
      <c r="J13"/>
      <c r="K13"/>
      <c r="L13"/>
      <c r="M13"/>
    </row>
    <row r="14" spans="1:13">
      <c r="A14" s="32" t="s">
        <v>122</v>
      </c>
      <c r="B14" s="32" t="s">
        <v>123</v>
      </c>
      <c r="C14" s="33">
        <v>77</v>
      </c>
      <c r="D14" s="33">
        <v>55</v>
      </c>
      <c r="E14" s="33">
        <v>67</v>
      </c>
      <c r="F14" s="33">
        <v>73</v>
      </c>
      <c r="G14" s="33">
        <v>68</v>
      </c>
      <c r="H14" s="34">
        <v>68</v>
      </c>
      <c r="J14"/>
      <c r="K14"/>
      <c r="L14"/>
      <c r="M14"/>
    </row>
    <row r="15" spans="1:13">
      <c r="A15" s="5" t="s">
        <v>124</v>
      </c>
      <c r="B15" s="5" t="s">
        <v>112</v>
      </c>
      <c r="C15" s="30">
        <v>89</v>
      </c>
      <c r="D15" s="30">
        <v>75</v>
      </c>
      <c r="E15" s="30">
        <v>86</v>
      </c>
      <c r="F15" s="30">
        <v>78</v>
      </c>
      <c r="G15" s="30">
        <v>82</v>
      </c>
      <c r="H15" s="31">
        <v>82</v>
      </c>
      <c r="J15"/>
      <c r="K15"/>
      <c r="L15"/>
      <c r="M15"/>
    </row>
    <row r="16" spans="1:13">
      <c r="A16" s="32" t="s">
        <v>125</v>
      </c>
      <c r="B16" s="32" t="s">
        <v>112</v>
      </c>
      <c r="C16" s="33">
        <v>74</v>
      </c>
      <c r="D16" s="33">
        <v>85</v>
      </c>
      <c r="E16" s="33">
        <v>94</v>
      </c>
      <c r="F16" s="33">
        <v>86</v>
      </c>
      <c r="G16" s="33">
        <v>82</v>
      </c>
      <c r="H16" s="34">
        <v>84.2</v>
      </c>
      <c r="J16"/>
      <c r="K16"/>
      <c r="L16"/>
      <c r="M16"/>
    </row>
    <row r="17" spans="1:13">
      <c r="A17" s="5" t="s">
        <v>126</v>
      </c>
      <c r="B17" s="5" t="s">
        <v>123</v>
      </c>
      <c r="C17" s="30">
        <v>87</v>
      </c>
      <c r="D17" s="30">
        <v>98</v>
      </c>
      <c r="E17" s="30">
        <v>84</v>
      </c>
      <c r="F17" s="30">
        <v>88</v>
      </c>
      <c r="G17" s="30">
        <v>100</v>
      </c>
      <c r="H17" s="31">
        <v>91.4</v>
      </c>
      <c r="J17"/>
      <c r="K17"/>
      <c r="L17"/>
      <c r="M17"/>
    </row>
    <row r="18" spans="1:13">
      <c r="A18" s="32" t="s">
        <v>127</v>
      </c>
      <c r="B18" s="32" t="s">
        <v>109</v>
      </c>
      <c r="C18" s="33">
        <v>73</v>
      </c>
      <c r="D18" s="33">
        <v>67</v>
      </c>
      <c r="E18" s="33">
        <v>88</v>
      </c>
      <c r="F18" s="33">
        <v>75</v>
      </c>
      <c r="G18" s="33">
        <v>76</v>
      </c>
      <c r="H18" s="34">
        <v>75.8</v>
      </c>
      <c r="J18"/>
      <c r="K18"/>
      <c r="L18"/>
      <c r="M18"/>
    </row>
    <row r="19" spans="1:13">
      <c r="A19" s="5" t="s">
        <v>128</v>
      </c>
      <c r="B19" s="5" t="s">
        <v>123</v>
      </c>
      <c r="C19" s="30">
        <v>92</v>
      </c>
      <c r="D19" s="30">
        <v>84</v>
      </c>
      <c r="E19" s="30">
        <v>75</v>
      </c>
      <c r="F19" s="30">
        <v>95</v>
      </c>
      <c r="G19" s="30">
        <v>83</v>
      </c>
      <c r="H19" s="31">
        <v>85.8</v>
      </c>
      <c r="J19"/>
      <c r="K19"/>
      <c r="L19"/>
      <c r="M19"/>
    </row>
    <row r="20" spans="1:13">
      <c r="A20" s="32" t="s">
        <v>129</v>
      </c>
      <c r="B20" s="32" t="s">
        <v>123</v>
      </c>
      <c r="C20" s="33">
        <v>73</v>
      </c>
      <c r="D20" s="33">
        <v>79</v>
      </c>
      <c r="E20" s="33">
        <v>85</v>
      </c>
      <c r="F20" s="33">
        <v>84</v>
      </c>
      <c r="G20" s="33">
        <v>82</v>
      </c>
      <c r="H20" s="34">
        <v>80.600000000000009</v>
      </c>
      <c r="J20"/>
      <c r="K20"/>
      <c r="L20"/>
      <c r="M20"/>
    </row>
    <row r="21" spans="1:13">
      <c r="J21"/>
      <c r="K21"/>
      <c r="L21"/>
      <c r="M21"/>
    </row>
    <row r="22" spans="1:13">
      <c r="J22"/>
      <c r="K22"/>
      <c r="L22"/>
      <c r="M22"/>
    </row>
    <row r="23" spans="1:13">
      <c r="J23"/>
      <c r="K23"/>
      <c r="L23"/>
      <c r="M23"/>
    </row>
    <row r="24" spans="1:13">
      <c r="J24"/>
      <c r="K24"/>
      <c r="L24"/>
      <c r="M24"/>
    </row>
    <row r="25" spans="1:13">
      <c r="J25"/>
      <c r="K25"/>
      <c r="L25"/>
      <c r="M25"/>
    </row>
    <row r="26" spans="1:13">
      <c r="J26"/>
      <c r="K26"/>
      <c r="L26"/>
      <c r="M26"/>
    </row>
    <row r="27" spans="1:13">
      <c r="J27"/>
      <c r="K27"/>
      <c r="L27"/>
      <c r="M27"/>
    </row>
    <row r="28" spans="1:13">
      <c r="J28"/>
      <c r="K28"/>
      <c r="L28"/>
      <c r="M28"/>
    </row>
    <row r="29" spans="1:13">
      <c r="J29"/>
      <c r="K29"/>
      <c r="L29"/>
      <c r="M29"/>
    </row>
    <row r="30" spans="1:13">
      <c r="J30"/>
      <c r="K30"/>
      <c r="L30"/>
      <c r="M30"/>
    </row>
    <row r="31" spans="1:13">
      <c r="J31"/>
      <c r="K31"/>
      <c r="L31"/>
      <c r="M31"/>
    </row>
    <row r="32" spans="1:13">
      <c r="J32"/>
      <c r="K32"/>
      <c r="L32"/>
      <c r="M32"/>
    </row>
    <row r="33" spans="10:13">
      <c r="J33"/>
      <c r="K33"/>
      <c r="L33"/>
      <c r="M33"/>
    </row>
    <row r="34" spans="10:13">
      <c r="J34"/>
      <c r="K34"/>
      <c r="L34"/>
      <c r="M34"/>
    </row>
    <row r="35" spans="10:13">
      <c r="J35"/>
      <c r="K35"/>
      <c r="L35"/>
      <c r="M35"/>
    </row>
    <row r="36" spans="10:13">
      <c r="J36"/>
      <c r="K36"/>
      <c r="L36"/>
      <c r="M36"/>
    </row>
    <row r="37" spans="10:13">
      <c r="J37"/>
      <c r="K37"/>
      <c r="L37"/>
      <c r="M37"/>
    </row>
    <row r="38" spans="10:13">
      <c r="J38"/>
      <c r="K38"/>
      <c r="L38"/>
      <c r="M38"/>
    </row>
    <row r="39" spans="10:13">
      <c r="J39"/>
      <c r="K39"/>
      <c r="L39"/>
      <c r="M39"/>
    </row>
    <row r="40" spans="10:13">
      <c r="J40"/>
      <c r="K40"/>
      <c r="L40"/>
      <c r="M40"/>
    </row>
    <row r="41" spans="10:13">
      <c r="J41"/>
      <c r="K41"/>
      <c r="L41"/>
      <c r="M41"/>
    </row>
    <row r="42" spans="10:13">
      <c r="J42"/>
      <c r="K42"/>
      <c r="L42"/>
      <c r="M42"/>
    </row>
    <row r="43" spans="10:13">
      <c r="J43"/>
      <c r="K43"/>
      <c r="L43"/>
      <c r="M43"/>
    </row>
    <row r="44" spans="10:13">
      <c r="J44"/>
      <c r="K44"/>
      <c r="L44"/>
      <c r="M44"/>
    </row>
    <row r="45" spans="10:13">
      <c r="J45"/>
      <c r="K45"/>
      <c r="L45"/>
      <c r="M45"/>
    </row>
    <row r="46" spans="10:13">
      <c r="J46"/>
      <c r="K46"/>
      <c r="L46"/>
      <c r="M46"/>
    </row>
    <row r="47" spans="10:13">
      <c r="J47"/>
      <c r="K47"/>
      <c r="L47"/>
      <c r="M47"/>
    </row>
  </sheetData>
  <phoneticPr fontId="3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30"/>
  <sheetViews>
    <sheetView workbookViewId="0"/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17.25" style="1" bestFit="1" customWidth="1"/>
    <col min="5" max="5" width="10.25" style="1" customWidth="1"/>
    <col min="6" max="6" width="6.5" style="1" customWidth="1"/>
    <col min="7" max="7" width="9" style="1"/>
    <col min="8" max="8" width="21.75" style="1" bestFit="1" customWidth="1"/>
    <col min="9" max="9" width="17.5" style="1" bestFit="1" customWidth="1"/>
    <col min="10" max="10" width="15.25" style="1" bestFit="1" customWidth="1"/>
    <col min="11" max="11" width="11.125" style="1" bestFit="1" customWidth="1"/>
    <col min="12" max="12" width="13.875" style="1" bestFit="1" customWidth="1"/>
    <col min="13" max="16384" width="9" style="1"/>
  </cols>
  <sheetData>
    <row r="1" spans="1:12"/>
    <row r="3" spans="1:12">
      <c r="A3" s="9" t="s">
        <v>130</v>
      </c>
      <c r="B3" s="10" t="s">
        <v>131</v>
      </c>
      <c r="C3" s="10" t="s">
        <v>132</v>
      </c>
      <c r="D3" s="10" t="s">
        <v>133</v>
      </c>
      <c r="E3" s="10" t="s">
        <v>134</v>
      </c>
      <c r="F3" s="11" t="s">
        <v>197</v>
      </c>
      <c r="H3" s="36" t="s">
        <v>132</v>
      </c>
      <c r="I3" s="36" t="s">
        <v>133</v>
      </c>
      <c r="J3" t="s">
        <v>214</v>
      </c>
      <c r="K3" t="s">
        <v>215</v>
      </c>
      <c r="L3" t="s">
        <v>216</v>
      </c>
    </row>
    <row r="4" spans="1:12">
      <c r="A4" s="5" t="s">
        <v>135</v>
      </c>
      <c r="B4" s="6" t="s">
        <v>136</v>
      </c>
      <c r="C4" s="6" t="s">
        <v>137</v>
      </c>
      <c r="D4" s="6" t="s">
        <v>138</v>
      </c>
      <c r="E4" s="7">
        <v>5000000</v>
      </c>
      <c r="F4" s="8">
        <v>30</v>
      </c>
      <c r="H4" t="s">
        <v>137</v>
      </c>
      <c r="I4"/>
      <c r="J4" s="42"/>
      <c r="K4" s="40"/>
      <c r="L4" s="42"/>
    </row>
    <row r="5" spans="1:12">
      <c r="A5" s="5" t="s">
        <v>139</v>
      </c>
      <c r="B5" s="6" t="s">
        <v>140</v>
      </c>
      <c r="C5" s="6" t="s">
        <v>141</v>
      </c>
      <c r="D5" s="6" t="s">
        <v>138</v>
      </c>
      <c r="E5" s="7">
        <v>3000000</v>
      </c>
      <c r="F5" s="8">
        <v>24</v>
      </c>
      <c r="H5"/>
      <c r="I5" t="s">
        <v>149</v>
      </c>
      <c r="J5" s="42">
        <v>7000000</v>
      </c>
      <c r="K5" s="40">
        <v>24</v>
      </c>
      <c r="L5" s="42">
        <v>29166.666666666668</v>
      </c>
    </row>
    <row r="6" spans="1:12">
      <c r="A6" s="5" t="s">
        <v>142</v>
      </c>
      <c r="B6" s="6" t="s">
        <v>143</v>
      </c>
      <c r="C6" s="6" t="s">
        <v>137</v>
      </c>
      <c r="D6" s="6" t="s">
        <v>138</v>
      </c>
      <c r="E6" s="7">
        <v>8000000</v>
      </c>
      <c r="F6" s="8">
        <v>30</v>
      </c>
      <c r="H6"/>
      <c r="I6" t="s">
        <v>138</v>
      </c>
      <c r="J6" s="42">
        <v>21000000</v>
      </c>
      <c r="K6" s="40">
        <v>120</v>
      </c>
      <c r="L6" s="42">
        <v>87500</v>
      </c>
    </row>
    <row r="7" spans="1:12">
      <c r="A7" s="5" t="s">
        <v>144</v>
      </c>
      <c r="B7" s="6" t="s">
        <v>145</v>
      </c>
      <c r="C7" s="6" t="s">
        <v>146</v>
      </c>
      <c r="D7" s="6" t="s">
        <v>138</v>
      </c>
      <c r="E7" s="7">
        <v>10000000</v>
      </c>
      <c r="F7" s="8">
        <v>36</v>
      </c>
      <c r="H7"/>
      <c r="I7" t="s">
        <v>152</v>
      </c>
      <c r="J7" s="42">
        <v>3000000</v>
      </c>
      <c r="K7" s="40">
        <v>36</v>
      </c>
      <c r="L7" s="42">
        <v>12500</v>
      </c>
    </row>
    <row r="8" spans="1:12">
      <c r="A8" s="5" t="s">
        <v>147</v>
      </c>
      <c r="B8" s="6" t="s">
        <v>148</v>
      </c>
      <c r="C8" s="6" t="s">
        <v>141</v>
      </c>
      <c r="D8" s="6" t="s">
        <v>149</v>
      </c>
      <c r="E8" s="7">
        <v>7000000</v>
      </c>
      <c r="F8" s="8">
        <v>30</v>
      </c>
      <c r="H8"/>
      <c r="I8" t="s">
        <v>162</v>
      </c>
      <c r="J8" s="42">
        <v>15000000</v>
      </c>
      <c r="K8" s="40">
        <v>30</v>
      </c>
      <c r="L8" s="42">
        <v>62500</v>
      </c>
    </row>
    <row r="9" spans="1:12">
      <c r="A9" s="5" t="s">
        <v>150</v>
      </c>
      <c r="B9" s="6" t="s">
        <v>151</v>
      </c>
      <c r="C9" s="6" t="s">
        <v>146</v>
      </c>
      <c r="D9" s="6" t="s">
        <v>152</v>
      </c>
      <c r="E9" s="7">
        <v>2000000</v>
      </c>
      <c r="F9" s="8">
        <v>60</v>
      </c>
      <c r="H9" t="s">
        <v>217</v>
      </c>
      <c r="I9"/>
      <c r="J9" s="42">
        <v>46000000</v>
      </c>
      <c r="K9" s="40">
        <v>210</v>
      </c>
      <c r="L9" s="42">
        <v>191666.66666666666</v>
      </c>
    </row>
    <row r="10" spans="1:12">
      <c r="A10" s="5" t="s">
        <v>153</v>
      </c>
      <c r="B10" s="6" t="s">
        <v>154</v>
      </c>
      <c r="C10" s="6" t="s">
        <v>141</v>
      </c>
      <c r="D10" s="6" t="s">
        <v>138</v>
      </c>
      <c r="E10" s="7">
        <v>5000000</v>
      </c>
      <c r="F10" s="8">
        <v>30</v>
      </c>
      <c r="H10" t="s">
        <v>141</v>
      </c>
      <c r="I10"/>
      <c r="J10" s="42"/>
      <c r="K10" s="40"/>
      <c r="L10" s="42"/>
    </row>
    <row r="11" spans="1:12">
      <c r="A11" s="5" t="s">
        <v>155</v>
      </c>
      <c r="B11" s="6" t="s">
        <v>156</v>
      </c>
      <c r="C11" s="6" t="s">
        <v>137</v>
      </c>
      <c r="D11" s="6" t="s">
        <v>152</v>
      </c>
      <c r="E11" s="7">
        <v>3000000</v>
      </c>
      <c r="F11" s="8">
        <v>36</v>
      </c>
      <c r="H11"/>
      <c r="I11" t="s">
        <v>149</v>
      </c>
      <c r="J11" s="42">
        <v>17000000</v>
      </c>
      <c r="K11" s="40">
        <v>60</v>
      </c>
      <c r="L11" s="42">
        <v>70833.333333333328</v>
      </c>
    </row>
    <row r="12" spans="1:12">
      <c r="A12" s="5" t="s">
        <v>157</v>
      </c>
      <c r="B12" s="6" t="s">
        <v>158</v>
      </c>
      <c r="C12" s="6" t="s">
        <v>159</v>
      </c>
      <c r="D12" s="6" t="s">
        <v>149</v>
      </c>
      <c r="E12" s="7">
        <v>5000000</v>
      </c>
      <c r="F12" s="8">
        <v>30</v>
      </c>
      <c r="H12"/>
      <c r="I12" t="s">
        <v>138</v>
      </c>
      <c r="J12" s="42">
        <v>10000000</v>
      </c>
      <c r="K12" s="40">
        <v>90</v>
      </c>
      <c r="L12" s="42">
        <v>41666.666666666664</v>
      </c>
    </row>
    <row r="13" spans="1:12">
      <c r="A13" s="5" t="s">
        <v>160</v>
      </c>
      <c r="B13" s="6" t="s">
        <v>161</v>
      </c>
      <c r="C13" s="6" t="s">
        <v>146</v>
      </c>
      <c r="D13" s="6" t="s">
        <v>162</v>
      </c>
      <c r="E13" s="7">
        <v>12000000</v>
      </c>
      <c r="F13" s="8">
        <v>60</v>
      </c>
      <c r="H13"/>
      <c r="I13" t="s">
        <v>152</v>
      </c>
      <c r="J13" s="42">
        <v>1000000</v>
      </c>
      <c r="K13" s="40">
        <v>48</v>
      </c>
      <c r="L13" s="42">
        <v>4166.666666666667</v>
      </c>
    </row>
    <row r="14" spans="1:12">
      <c r="A14" s="5" t="s">
        <v>163</v>
      </c>
      <c r="B14" s="6" t="s">
        <v>164</v>
      </c>
      <c r="C14" s="6" t="s">
        <v>146</v>
      </c>
      <c r="D14" s="6" t="s">
        <v>149</v>
      </c>
      <c r="E14" s="7">
        <v>15000000</v>
      </c>
      <c r="F14" s="8">
        <v>60</v>
      </c>
      <c r="H14"/>
      <c r="I14" t="s">
        <v>162</v>
      </c>
      <c r="J14" s="42">
        <v>42000000</v>
      </c>
      <c r="K14" s="40">
        <v>108</v>
      </c>
      <c r="L14" s="42">
        <v>175000</v>
      </c>
    </row>
    <row r="15" spans="1:12">
      <c r="A15" s="5" t="s">
        <v>165</v>
      </c>
      <c r="B15" s="6" t="s">
        <v>166</v>
      </c>
      <c r="C15" s="6" t="s">
        <v>137</v>
      </c>
      <c r="D15" s="6" t="s">
        <v>138</v>
      </c>
      <c r="E15" s="7">
        <v>5000000</v>
      </c>
      <c r="F15" s="8">
        <v>36</v>
      </c>
      <c r="H15" t="s">
        <v>218</v>
      </c>
      <c r="I15"/>
      <c r="J15" s="42">
        <v>70000000</v>
      </c>
      <c r="K15" s="40">
        <v>306</v>
      </c>
      <c r="L15" s="42">
        <v>291666.66666666669</v>
      </c>
    </row>
    <row r="16" spans="1:12">
      <c r="A16" s="5" t="s">
        <v>167</v>
      </c>
      <c r="B16" s="6" t="s">
        <v>168</v>
      </c>
      <c r="C16" s="6" t="s">
        <v>137</v>
      </c>
      <c r="D16" s="6" t="s">
        <v>149</v>
      </c>
      <c r="E16" s="7">
        <v>7000000</v>
      </c>
      <c r="F16" s="8">
        <v>24</v>
      </c>
      <c r="H16" t="s">
        <v>159</v>
      </c>
      <c r="I16"/>
      <c r="J16" s="42"/>
      <c r="K16" s="40"/>
      <c r="L16" s="42"/>
    </row>
    <row r="17" spans="1:12">
      <c r="A17" s="5" t="s">
        <v>169</v>
      </c>
      <c r="B17" s="6" t="s">
        <v>170</v>
      </c>
      <c r="C17" s="6" t="s">
        <v>159</v>
      </c>
      <c r="D17" s="6" t="s">
        <v>152</v>
      </c>
      <c r="E17" s="7">
        <v>3000000</v>
      </c>
      <c r="F17" s="8">
        <v>36</v>
      </c>
      <c r="H17"/>
      <c r="I17" t="s">
        <v>149</v>
      </c>
      <c r="J17" s="42">
        <v>10000000</v>
      </c>
      <c r="K17" s="40">
        <v>54</v>
      </c>
      <c r="L17" s="42">
        <v>41666.666666666664</v>
      </c>
    </row>
    <row r="18" spans="1:12">
      <c r="A18" s="5" t="s">
        <v>171</v>
      </c>
      <c r="B18" s="6" t="s">
        <v>172</v>
      </c>
      <c r="C18" s="6" t="s">
        <v>141</v>
      </c>
      <c r="D18" s="6" t="s">
        <v>152</v>
      </c>
      <c r="E18" s="7">
        <v>1000000</v>
      </c>
      <c r="F18" s="8">
        <v>48</v>
      </c>
      <c r="H18"/>
      <c r="I18" t="s">
        <v>152</v>
      </c>
      <c r="J18" s="42">
        <v>6000000</v>
      </c>
      <c r="K18" s="40">
        <v>72</v>
      </c>
      <c r="L18" s="42">
        <v>25000</v>
      </c>
    </row>
    <row r="19" spans="1:12">
      <c r="A19" s="5" t="s">
        <v>173</v>
      </c>
      <c r="B19" s="6" t="s">
        <v>174</v>
      </c>
      <c r="C19" s="6" t="s">
        <v>141</v>
      </c>
      <c r="D19" s="6" t="s">
        <v>162</v>
      </c>
      <c r="E19" s="7">
        <v>27000000</v>
      </c>
      <c r="F19" s="8">
        <v>48</v>
      </c>
      <c r="H19"/>
      <c r="I19" t="s">
        <v>162</v>
      </c>
      <c r="J19" s="42">
        <v>50000000</v>
      </c>
      <c r="K19" s="40">
        <v>84</v>
      </c>
      <c r="L19" s="42">
        <v>208333.33333333334</v>
      </c>
    </row>
    <row r="20" spans="1:12">
      <c r="A20" s="5" t="s">
        <v>175</v>
      </c>
      <c r="B20" s="6" t="s">
        <v>176</v>
      </c>
      <c r="C20" s="6" t="s">
        <v>141</v>
      </c>
      <c r="D20" s="6" t="s">
        <v>162</v>
      </c>
      <c r="E20" s="7">
        <v>15000000</v>
      </c>
      <c r="F20" s="8">
        <v>60</v>
      </c>
      <c r="H20" t="s">
        <v>219</v>
      </c>
      <c r="I20"/>
      <c r="J20" s="42">
        <v>66000000</v>
      </c>
      <c r="K20" s="40">
        <v>210</v>
      </c>
      <c r="L20" s="42">
        <v>275000</v>
      </c>
    </row>
    <row r="21" spans="1:12">
      <c r="A21" s="5" t="s">
        <v>177</v>
      </c>
      <c r="B21" s="6" t="s">
        <v>178</v>
      </c>
      <c r="C21" s="6" t="s">
        <v>137</v>
      </c>
      <c r="D21" s="6" t="s">
        <v>138</v>
      </c>
      <c r="E21" s="7">
        <v>3000000</v>
      </c>
      <c r="F21" s="8">
        <v>24</v>
      </c>
      <c r="H21" t="s">
        <v>146</v>
      </c>
      <c r="I21"/>
      <c r="J21" s="42"/>
      <c r="K21" s="40"/>
      <c r="L21" s="42"/>
    </row>
    <row r="22" spans="1:12">
      <c r="A22" s="5" t="s">
        <v>179</v>
      </c>
      <c r="B22" s="6" t="s">
        <v>180</v>
      </c>
      <c r="C22" s="6" t="s">
        <v>159</v>
      </c>
      <c r="D22" s="6" t="s">
        <v>152</v>
      </c>
      <c r="E22" s="7">
        <v>3000000</v>
      </c>
      <c r="F22" s="8">
        <v>36</v>
      </c>
      <c r="H22"/>
      <c r="I22" t="s">
        <v>149</v>
      </c>
      <c r="J22" s="42">
        <v>21000000</v>
      </c>
      <c r="K22" s="40">
        <v>84</v>
      </c>
      <c r="L22" s="42">
        <v>87500</v>
      </c>
    </row>
    <row r="23" spans="1:12">
      <c r="A23" s="5" t="s">
        <v>181</v>
      </c>
      <c r="B23" s="6" t="s">
        <v>182</v>
      </c>
      <c r="C23" s="6" t="s">
        <v>141</v>
      </c>
      <c r="D23" s="6" t="s">
        <v>149</v>
      </c>
      <c r="E23" s="7">
        <v>10000000</v>
      </c>
      <c r="F23" s="8">
        <v>30</v>
      </c>
      <c r="H23"/>
      <c r="I23" t="s">
        <v>138</v>
      </c>
      <c r="J23" s="42">
        <v>10000000</v>
      </c>
      <c r="K23" s="40">
        <v>36</v>
      </c>
      <c r="L23" s="42">
        <v>41666.666666666664</v>
      </c>
    </row>
    <row r="24" spans="1:12">
      <c r="A24" s="5" t="s">
        <v>183</v>
      </c>
      <c r="B24" s="6" t="s">
        <v>184</v>
      </c>
      <c r="C24" s="6" t="s">
        <v>159</v>
      </c>
      <c r="D24" s="6" t="s">
        <v>162</v>
      </c>
      <c r="E24" s="7">
        <v>15000000</v>
      </c>
      <c r="F24" s="8">
        <v>60</v>
      </c>
      <c r="H24"/>
      <c r="I24" t="s">
        <v>152</v>
      </c>
      <c r="J24" s="42">
        <v>6000000</v>
      </c>
      <c r="K24" s="40">
        <v>108</v>
      </c>
      <c r="L24" s="42">
        <v>25000</v>
      </c>
    </row>
    <row r="25" spans="1:12">
      <c r="A25" s="5" t="s">
        <v>185</v>
      </c>
      <c r="B25" s="6" t="s">
        <v>186</v>
      </c>
      <c r="C25" s="6" t="s">
        <v>146</v>
      </c>
      <c r="D25" s="6" t="s">
        <v>149</v>
      </c>
      <c r="E25" s="7">
        <v>6000000</v>
      </c>
      <c r="F25" s="8">
        <v>24</v>
      </c>
      <c r="H25"/>
      <c r="I25" t="s">
        <v>162</v>
      </c>
      <c r="J25" s="42">
        <v>12000000</v>
      </c>
      <c r="K25" s="40">
        <v>60</v>
      </c>
      <c r="L25" s="42">
        <v>50000</v>
      </c>
    </row>
    <row r="26" spans="1:12">
      <c r="A26" s="5" t="s">
        <v>187</v>
      </c>
      <c r="B26" s="6" t="s">
        <v>188</v>
      </c>
      <c r="C26" s="6" t="s">
        <v>146</v>
      </c>
      <c r="D26" s="6" t="s">
        <v>152</v>
      </c>
      <c r="E26" s="7">
        <v>4000000</v>
      </c>
      <c r="F26" s="8">
        <v>48</v>
      </c>
      <c r="H26" t="s">
        <v>220</v>
      </c>
      <c r="I26"/>
      <c r="J26" s="42">
        <v>49000000</v>
      </c>
      <c r="K26" s="40">
        <v>288</v>
      </c>
      <c r="L26" s="42">
        <v>204166.66666666666</v>
      </c>
    </row>
    <row r="27" spans="1:12">
      <c r="A27" s="5" t="s">
        <v>189</v>
      </c>
      <c r="B27" s="6" t="s">
        <v>190</v>
      </c>
      <c r="C27" s="6" t="s">
        <v>159</v>
      </c>
      <c r="D27" s="6" t="s">
        <v>162</v>
      </c>
      <c r="E27" s="7">
        <v>35000000</v>
      </c>
      <c r="F27" s="8">
        <v>24</v>
      </c>
      <c r="H27" t="s">
        <v>198</v>
      </c>
      <c r="I27"/>
      <c r="J27" s="42">
        <v>231000000</v>
      </c>
      <c r="K27" s="40">
        <v>1014</v>
      </c>
      <c r="L27" s="42">
        <v>962500</v>
      </c>
    </row>
    <row r="28" spans="1:12">
      <c r="A28" s="5" t="s">
        <v>191</v>
      </c>
      <c r="B28" s="6" t="s">
        <v>192</v>
      </c>
      <c r="C28" s="6" t="s">
        <v>141</v>
      </c>
      <c r="D28" s="6" t="s">
        <v>138</v>
      </c>
      <c r="E28" s="7">
        <v>2000000</v>
      </c>
      <c r="F28" s="8">
        <v>36</v>
      </c>
    </row>
    <row r="29" spans="1:12">
      <c r="A29" s="5" t="s">
        <v>193</v>
      </c>
      <c r="B29" s="6" t="s">
        <v>194</v>
      </c>
      <c r="C29" s="6" t="s">
        <v>159</v>
      </c>
      <c r="D29" s="6" t="s">
        <v>149</v>
      </c>
      <c r="E29" s="7">
        <v>5000000</v>
      </c>
      <c r="F29" s="8">
        <v>24</v>
      </c>
    </row>
    <row r="30" spans="1:12">
      <c r="A30" s="12" t="s">
        <v>195</v>
      </c>
      <c r="B30" s="13" t="s">
        <v>196</v>
      </c>
      <c r="C30" s="13" t="s">
        <v>137</v>
      </c>
      <c r="D30" s="13" t="s">
        <v>162</v>
      </c>
      <c r="E30" s="14">
        <v>15000000</v>
      </c>
      <c r="F30" s="15">
        <v>30</v>
      </c>
    </row>
  </sheetData>
  <phoneticPr fontId="3" type="noConversion"/>
  <pageMargins left="0.75" right="0.75" top="1" bottom="1" header="0.5" footer="0.5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601E-3024-4A8A-8509-FBE86F78BBC0}">
  <dimension ref="A1:E3"/>
  <sheetViews>
    <sheetView workbookViewId="0">
      <selection sqref="A1:E3"/>
    </sheetView>
  </sheetViews>
  <sheetFormatPr defaultRowHeight="16.5"/>
  <cols>
    <col min="4" max="4" width="10.25" customWidth="1"/>
    <col min="5" max="5" width="12.125" customWidth="1"/>
  </cols>
  <sheetData>
    <row r="1" spans="1:5">
      <c r="A1" t="s">
        <v>3</v>
      </c>
      <c r="B1" t="s">
        <v>4</v>
      </c>
      <c r="C1" t="s">
        <v>2</v>
      </c>
      <c r="D1" t="s">
        <v>5</v>
      </c>
      <c r="E1" t="s">
        <v>6</v>
      </c>
    </row>
    <row r="2" spans="1:5">
      <c r="A2">
        <v>19</v>
      </c>
      <c r="B2" t="s">
        <v>10</v>
      </c>
      <c r="C2" t="s">
        <v>11</v>
      </c>
      <c r="D2">
        <v>1250</v>
      </c>
      <c r="E2">
        <v>225</v>
      </c>
    </row>
    <row r="3" spans="1:5">
      <c r="A3">
        <v>3</v>
      </c>
      <c r="B3" t="s">
        <v>10</v>
      </c>
      <c r="C3" t="s">
        <v>11</v>
      </c>
      <c r="D3">
        <v>8130</v>
      </c>
      <c r="E3">
        <v>261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1"/>
  <sheetViews>
    <sheetView tabSelected="1" topLeftCell="B4" workbookViewId="0">
      <selection activeCell="H4" sqref="H4"/>
    </sheetView>
  </sheetViews>
  <sheetFormatPr defaultRowHeight="16.5"/>
  <cols>
    <col min="1" max="1" width="7" style="1" customWidth="1"/>
    <col min="2" max="2" width="16.875" style="1" customWidth="1"/>
    <col min="3" max="3" width="9" style="1"/>
    <col min="4" max="4" width="9.25" style="1" bestFit="1" customWidth="1"/>
    <col min="5" max="5" width="11.125" style="1" bestFit="1" customWidth="1"/>
    <col min="6" max="6" width="9" style="1"/>
    <col min="7" max="7" width="16.125" style="1" bestFit="1" customWidth="1"/>
    <col min="8" max="8" width="17.375" style="1" bestFit="1" customWidth="1"/>
    <col min="9" max="16384" width="9" style="1"/>
  </cols>
  <sheetData>
    <row r="1" spans="1:9">
      <c r="A1" s="1" t="s">
        <v>0</v>
      </c>
      <c r="B1" s="1" t="s">
        <v>1</v>
      </c>
    </row>
    <row r="2" spans="1:9">
      <c r="G2" s="43" t="s">
        <v>2</v>
      </c>
      <c r="H2" s="44" t="s">
        <v>199</v>
      </c>
    </row>
    <row r="3" spans="1:9">
      <c r="A3" s="2" t="s">
        <v>3</v>
      </c>
      <c r="B3" s="2" t="s">
        <v>4</v>
      </c>
      <c r="C3" s="2" t="s">
        <v>2</v>
      </c>
      <c r="D3" s="2" t="s">
        <v>5</v>
      </c>
      <c r="E3" s="2" t="s">
        <v>6</v>
      </c>
      <c r="G3" s="45"/>
      <c r="H3" s="45"/>
    </row>
    <row r="4" spans="1:9">
      <c r="A4" s="3">
        <v>1</v>
      </c>
      <c r="B4" s="4" t="s">
        <v>7</v>
      </c>
      <c r="C4" s="4" t="s">
        <v>8</v>
      </c>
      <c r="D4" s="3">
        <v>4829</v>
      </c>
      <c r="E4" s="3">
        <v>347.1</v>
      </c>
      <c r="G4" s="43" t="s">
        <v>205</v>
      </c>
      <c r="H4" s="44" t="s">
        <v>221</v>
      </c>
      <c r="I4"/>
    </row>
    <row r="5" spans="1:9">
      <c r="A5" s="3">
        <v>2</v>
      </c>
      <c r="B5" s="4" t="s">
        <v>9</v>
      </c>
      <c r="C5" s="4" t="s">
        <v>8</v>
      </c>
      <c r="D5" s="3">
        <v>14195</v>
      </c>
      <c r="E5" s="3">
        <v>313.7</v>
      </c>
      <c r="G5" s="44" t="s">
        <v>9</v>
      </c>
      <c r="H5" s="46">
        <v>313.7</v>
      </c>
      <c r="I5"/>
    </row>
    <row r="6" spans="1:9">
      <c r="A6" s="3">
        <v>3</v>
      </c>
      <c r="B6" s="4" t="s">
        <v>10</v>
      </c>
      <c r="C6" s="4" t="s">
        <v>11</v>
      </c>
      <c r="D6" s="3">
        <v>8130</v>
      </c>
      <c r="E6" s="3">
        <v>261</v>
      </c>
      <c r="G6" s="44" t="s">
        <v>12</v>
      </c>
      <c r="H6" s="46">
        <v>233.7</v>
      </c>
      <c r="I6"/>
    </row>
    <row r="7" spans="1:9">
      <c r="A7" s="3">
        <v>4</v>
      </c>
      <c r="B7" s="4" t="s">
        <v>13</v>
      </c>
      <c r="C7" s="4" t="s">
        <v>8</v>
      </c>
      <c r="D7" s="3">
        <v>5797</v>
      </c>
      <c r="E7" s="3">
        <v>258.7</v>
      </c>
      <c r="G7" s="44" t="s">
        <v>14</v>
      </c>
      <c r="H7" s="46">
        <v>124</v>
      </c>
      <c r="I7"/>
    </row>
    <row r="8" spans="1:9">
      <c r="A8" s="3">
        <v>5</v>
      </c>
      <c r="B8" s="4" t="s">
        <v>12</v>
      </c>
      <c r="C8" s="4" t="s">
        <v>8</v>
      </c>
      <c r="D8" s="3">
        <v>3168</v>
      </c>
      <c r="E8" s="3">
        <v>233.7</v>
      </c>
      <c r="G8" s="44" t="s">
        <v>15</v>
      </c>
      <c r="H8" s="46">
        <v>153.9</v>
      </c>
      <c r="I8"/>
    </row>
    <row r="9" spans="1:9">
      <c r="A9" s="3">
        <v>6</v>
      </c>
      <c r="B9" s="4" t="s">
        <v>16</v>
      </c>
      <c r="C9" s="4" t="s">
        <v>11</v>
      </c>
      <c r="D9" s="3">
        <v>114054</v>
      </c>
      <c r="E9" s="3">
        <v>225</v>
      </c>
      <c r="G9" s="44" t="s">
        <v>17</v>
      </c>
      <c r="H9" s="46">
        <v>204.3</v>
      </c>
      <c r="I9"/>
    </row>
    <row r="10" spans="1:9">
      <c r="A10" s="3">
        <v>7</v>
      </c>
      <c r="B10" s="4" t="s">
        <v>17</v>
      </c>
      <c r="C10" s="4" t="s">
        <v>8</v>
      </c>
      <c r="D10" s="3">
        <v>76947</v>
      </c>
      <c r="E10" s="3">
        <v>204.3</v>
      </c>
      <c r="G10" s="44" t="s">
        <v>18</v>
      </c>
      <c r="H10" s="46">
        <v>183.9</v>
      </c>
      <c r="I10"/>
    </row>
    <row r="11" spans="1:9">
      <c r="A11" s="3">
        <v>8</v>
      </c>
      <c r="B11" s="4" t="s">
        <v>19</v>
      </c>
      <c r="C11" s="4" t="s">
        <v>11</v>
      </c>
      <c r="D11" s="3">
        <v>15887</v>
      </c>
      <c r="E11" s="3">
        <v>169.2</v>
      </c>
      <c r="G11" s="44" t="s">
        <v>13</v>
      </c>
      <c r="H11" s="46">
        <v>258.7</v>
      </c>
      <c r="I11"/>
    </row>
    <row r="12" spans="1:9">
      <c r="A12" s="3">
        <v>9</v>
      </c>
      <c r="B12" s="4" t="s">
        <v>20</v>
      </c>
      <c r="C12" s="4" t="s">
        <v>8</v>
      </c>
      <c r="D12" s="3">
        <v>32931</v>
      </c>
      <c r="E12" s="3">
        <v>154.4</v>
      </c>
      <c r="G12" s="44" t="s">
        <v>10</v>
      </c>
      <c r="H12" s="46">
        <v>243</v>
      </c>
      <c r="I12"/>
    </row>
    <row r="13" spans="1:9">
      <c r="A13" s="3">
        <v>10</v>
      </c>
      <c r="B13" s="4" t="s">
        <v>21</v>
      </c>
      <c r="C13" s="4" t="s">
        <v>11</v>
      </c>
      <c r="D13" s="3">
        <v>31080</v>
      </c>
      <c r="E13" s="3">
        <v>279.8</v>
      </c>
      <c r="G13" s="44" t="s">
        <v>7</v>
      </c>
      <c r="H13" s="46">
        <v>347.1</v>
      </c>
      <c r="I13"/>
    </row>
    <row r="14" spans="1:9">
      <c r="A14" s="3">
        <v>11</v>
      </c>
      <c r="B14" s="4" t="s">
        <v>22</v>
      </c>
      <c r="C14" s="4" t="s">
        <v>11</v>
      </c>
      <c r="D14" s="3">
        <v>21786</v>
      </c>
      <c r="E14" s="3">
        <v>189.4</v>
      </c>
      <c r="G14" s="44" t="s">
        <v>23</v>
      </c>
      <c r="H14" s="46">
        <v>156.69999999999999</v>
      </c>
      <c r="I14"/>
    </row>
    <row r="15" spans="1:9">
      <c r="A15" s="3">
        <v>12</v>
      </c>
      <c r="B15" s="4" t="s">
        <v>18</v>
      </c>
      <c r="C15" s="4" t="s">
        <v>11</v>
      </c>
      <c r="D15" s="3">
        <v>2258</v>
      </c>
      <c r="E15" s="3">
        <v>183.9</v>
      </c>
      <c r="G15" s="44" t="s">
        <v>19</v>
      </c>
      <c r="H15" s="46">
        <v>169.2</v>
      </c>
      <c r="I15"/>
    </row>
    <row r="16" spans="1:9">
      <c r="A16" s="3">
        <v>13</v>
      </c>
      <c r="B16" s="4" t="s">
        <v>23</v>
      </c>
      <c r="C16" s="4" t="s">
        <v>8</v>
      </c>
      <c r="D16" s="3">
        <v>9470</v>
      </c>
      <c r="E16" s="3">
        <v>156.69999999999999</v>
      </c>
      <c r="G16" s="44" t="s">
        <v>20</v>
      </c>
      <c r="H16" s="46">
        <v>154.4</v>
      </c>
      <c r="I16"/>
    </row>
    <row r="17" spans="1:9">
      <c r="A17" s="3">
        <v>14</v>
      </c>
      <c r="B17" s="4" t="s">
        <v>15</v>
      </c>
      <c r="C17" s="4" t="s">
        <v>8</v>
      </c>
      <c r="D17" s="3">
        <v>37802</v>
      </c>
      <c r="E17" s="3">
        <v>153.9</v>
      </c>
      <c r="G17" s="44" t="s">
        <v>16</v>
      </c>
      <c r="H17" s="46">
        <v>225</v>
      </c>
      <c r="I17"/>
    </row>
    <row r="18" spans="1:9">
      <c r="A18" s="3">
        <v>15</v>
      </c>
      <c r="B18" s="4" t="s">
        <v>14</v>
      </c>
      <c r="C18" s="4" t="s">
        <v>11</v>
      </c>
      <c r="D18" s="3">
        <v>21146</v>
      </c>
      <c r="E18" s="3">
        <v>124</v>
      </c>
      <c r="G18" s="44" t="s">
        <v>24</v>
      </c>
      <c r="H18" s="46">
        <v>351.3</v>
      </c>
      <c r="I18"/>
    </row>
    <row r="19" spans="1:9">
      <c r="A19" s="3">
        <v>16</v>
      </c>
      <c r="B19" s="4" t="s">
        <v>24</v>
      </c>
      <c r="C19" s="4" t="s">
        <v>8</v>
      </c>
      <c r="D19" s="3">
        <v>21222</v>
      </c>
      <c r="E19" s="3">
        <v>351.3</v>
      </c>
      <c r="G19" s="44" t="s">
        <v>21</v>
      </c>
      <c r="H19" s="46">
        <v>279.8</v>
      </c>
      <c r="I19"/>
    </row>
    <row r="20" spans="1:9">
      <c r="A20" s="3">
        <v>19</v>
      </c>
      <c r="B20" s="4" t="s">
        <v>10</v>
      </c>
      <c r="C20" s="4" t="s">
        <v>11</v>
      </c>
      <c r="D20" s="3">
        <v>1250</v>
      </c>
      <c r="E20" s="3">
        <v>225</v>
      </c>
      <c r="G20" s="44" t="s">
        <v>22</v>
      </c>
      <c r="H20" s="46">
        <v>189.4</v>
      </c>
      <c r="I20"/>
    </row>
    <row r="21" spans="1:9">
      <c r="G21" s="44" t="s">
        <v>198</v>
      </c>
      <c r="H21" s="46">
        <v>225.35882352941178</v>
      </c>
      <c r="I21"/>
    </row>
  </sheetData>
  <phoneticPr fontId="3" type="noConversion"/>
  <pageMargins left="0.75" right="0.75" top="1" bottom="1" header="0.5" footer="0.5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3월가공현황</vt:lpstr>
      <vt:lpstr>무작정따라하기</vt:lpstr>
      <vt:lpstr>기출01</vt:lpstr>
      <vt:lpstr>기출02</vt:lpstr>
      <vt:lpstr>시스템SW</vt:lpstr>
      <vt:lpstr>기출03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이혁재</cp:lastModifiedBy>
  <dcterms:created xsi:type="dcterms:W3CDTF">2017-09-04T13:24:26Z</dcterms:created>
  <dcterms:modified xsi:type="dcterms:W3CDTF">2020-08-01T16:50:59Z</dcterms:modified>
</cp:coreProperties>
</file>