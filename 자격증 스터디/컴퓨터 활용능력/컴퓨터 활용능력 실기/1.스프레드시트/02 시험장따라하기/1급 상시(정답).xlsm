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35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'기본작업-2'!$B$3:$J$33</definedName>
    <definedName name="_xlnm.Criteria" localSheetId="1">'기본작업-2'!$B$35:$B$36</definedName>
    <definedName name="_xlnm.Extract" localSheetId="1">'기본작업-2'!$B$38:$J$38</definedName>
    <definedName name="MS_Access_Database_Query" localSheetId="3" hidden="1">'분석작업-1'!#REF!</definedName>
    <definedName name="_xlnm.Print_Area" localSheetId="1">'기본작업-2'!$B$3:$J$33</definedName>
    <definedName name="_xlnm.Print_Titles" localSheetId="1">'기본작업-2'!$3:$3</definedName>
  </definedNames>
  <calcPr calcId="145621"/>
  <pivotCaches>
    <pivotCache cacheId="33" r:id="rId8"/>
  </pivotCaches>
</workbook>
</file>

<file path=xl/calcChain.xml><?xml version="1.0" encoding="utf-8"?>
<calcChain xmlns="http://schemas.openxmlformats.org/spreadsheetml/2006/main">
  <c r="H35" i="3" l="1" a="1"/>
  <c r="H35" i="3" s="1"/>
  <c r="G35" i="3" a="1"/>
  <c r="G35" i="3" s="1"/>
  <c r="F35" i="3" a="1"/>
  <c r="F35" i="3" s="1"/>
  <c r="E35" i="3" a="1"/>
  <c r="E35" i="3" s="1"/>
  <c r="D35" i="3" a="1"/>
  <c r="D35" i="3" s="1"/>
  <c r="C35" i="3" a="1"/>
  <c r="C35" i="3" s="1"/>
  <c r="H34" i="3" a="1"/>
  <c r="H34" i="3" s="1"/>
  <c r="G34" i="3" a="1"/>
  <c r="G34" i="3" s="1"/>
  <c r="F34" i="3" a="1"/>
  <c r="F34" i="3" s="1"/>
  <c r="E34" i="3" a="1"/>
  <c r="E34" i="3" s="1"/>
  <c r="D34" i="3" a="1"/>
  <c r="D34" i="3" s="1"/>
  <c r="C34" i="3" a="1"/>
  <c r="C34" i="3" s="1"/>
  <c r="H33" i="3"/>
  <c r="G33" i="3"/>
  <c r="F33" i="3"/>
  <c r="E33" i="3"/>
  <c r="D33" i="3"/>
  <c r="C33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B36" i="2"/>
  <c r="J27" i="3"/>
  <c r="J25" i="3"/>
  <c r="J23" i="3"/>
  <c r="J21" i="3"/>
  <c r="J19" i="3"/>
  <c r="J17" i="3"/>
  <c r="J15" i="3"/>
  <c r="J13" i="3"/>
  <c r="J11" i="3"/>
  <c r="J9" i="3"/>
  <c r="J7" i="3"/>
  <c r="J5" i="3"/>
  <c r="J28" i="3"/>
  <c r="J26" i="3"/>
  <c r="J24" i="3"/>
  <c r="J22" i="3"/>
  <c r="J20" i="3"/>
  <c r="J18" i="3"/>
  <c r="J16" i="3"/>
  <c r="J14" i="3"/>
  <c r="J12" i="3"/>
  <c r="J10" i="3"/>
  <c r="J8" i="3"/>
  <c r="J6" i="3"/>
  <c r="J4" i="3"/>
</calcChain>
</file>

<file path=xl/sharedStrings.xml><?xml version="1.0" encoding="utf-8"?>
<sst xmlns="http://schemas.openxmlformats.org/spreadsheetml/2006/main" count="628" uniqueCount="152">
  <si>
    <t>[표1]</t>
    <phoneticPr fontId="2" type="noConversion"/>
  </si>
  <si>
    <t>학번</t>
  </si>
  <si>
    <t>이름</t>
  </si>
  <si>
    <t>생년월일</t>
  </si>
  <si>
    <t>학과명</t>
  </si>
  <si>
    <t>담당교수</t>
  </si>
  <si>
    <t>TOEIC</t>
  </si>
  <si>
    <t>컴퓨터</t>
  </si>
  <si>
    <t>전공2</t>
  </si>
  <si>
    <t>평가</t>
  </si>
  <si>
    <t>12B201</t>
  </si>
  <si>
    <t>너일주</t>
  </si>
  <si>
    <t>영문학과</t>
  </si>
  <si>
    <t>차주석</t>
  </si>
  <si>
    <t>D</t>
  </si>
  <si>
    <t>12B125</t>
  </si>
  <si>
    <t>이숙영</t>
  </si>
  <si>
    <t>국어국문과</t>
  </si>
  <si>
    <t>김학인</t>
  </si>
  <si>
    <t>B</t>
  </si>
  <si>
    <t>12C216</t>
  </si>
  <si>
    <t>손범수</t>
  </si>
  <si>
    <t>미술학과</t>
  </si>
  <si>
    <t>정희숙</t>
  </si>
  <si>
    <t>C</t>
  </si>
  <si>
    <t>11B224</t>
    <phoneticPr fontId="2" type="noConversion"/>
  </si>
  <si>
    <t>이무열</t>
  </si>
  <si>
    <t>13B205</t>
  </si>
  <si>
    <t>권은영</t>
  </si>
  <si>
    <t>13C201</t>
  </si>
  <si>
    <t>이창섭</t>
  </si>
  <si>
    <t>F</t>
  </si>
  <si>
    <t>12A128</t>
  </si>
  <si>
    <t>서호형</t>
  </si>
  <si>
    <t>전산학과</t>
  </si>
  <si>
    <t>김인정</t>
  </si>
  <si>
    <t>12C104</t>
  </si>
  <si>
    <t>서원석</t>
  </si>
  <si>
    <t>디자인과</t>
  </si>
  <si>
    <t>명진국</t>
  </si>
  <si>
    <t>13A218</t>
  </si>
  <si>
    <t>김미숙</t>
  </si>
  <si>
    <t>컴퓨터공학과</t>
  </si>
  <si>
    <t>이숙진</t>
  </si>
  <si>
    <t>11C219</t>
  </si>
  <si>
    <t>곽영일</t>
  </si>
  <si>
    <t>12A118</t>
  </si>
  <si>
    <t>진양혜</t>
  </si>
  <si>
    <t>13B206</t>
  </si>
  <si>
    <t>김건남</t>
  </si>
  <si>
    <t>13A120</t>
  </si>
  <si>
    <t>오성식</t>
  </si>
  <si>
    <t>13B107</t>
  </si>
  <si>
    <t>김상철</t>
  </si>
  <si>
    <t>13B208</t>
  </si>
  <si>
    <t>최옥자</t>
  </si>
  <si>
    <t>13B111</t>
  </si>
  <si>
    <t>송현우</t>
  </si>
  <si>
    <t>13C212</t>
  </si>
  <si>
    <t>이욱현</t>
  </si>
  <si>
    <t>13A202</t>
  </si>
  <si>
    <t>김영란</t>
  </si>
  <si>
    <t>A</t>
  </si>
  <si>
    <t>11C203</t>
    <phoneticPr fontId="2" type="noConversion"/>
  </si>
  <si>
    <t>박성미</t>
  </si>
  <si>
    <t>13A117</t>
  </si>
  <si>
    <t>조숙희</t>
  </si>
  <si>
    <t>12A126</t>
  </si>
  <si>
    <t>김광배</t>
  </si>
  <si>
    <t>B</t>
    <phoneticPr fontId="2" type="noConversion"/>
  </si>
  <si>
    <t>13C123</t>
  </si>
  <si>
    <t>배유정</t>
  </si>
  <si>
    <t>13A214</t>
  </si>
  <si>
    <t>심상섭</t>
  </si>
  <si>
    <t>13C109</t>
  </si>
  <si>
    <t>한영희</t>
  </si>
  <si>
    <t>13B110</t>
  </si>
  <si>
    <t>민들레</t>
  </si>
  <si>
    <t>13B213</t>
  </si>
  <si>
    <t>황유선</t>
  </si>
  <si>
    <t>11C122</t>
    <phoneticPr fontId="2" type="noConversion"/>
  </si>
  <si>
    <t>이창명</t>
  </si>
  <si>
    <t>13B227</t>
  </si>
  <si>
    <t>양창석</t>
  </si>
  <si>
    <t>13C221</t>
  </si>
  <si>
    <t>배동진</t>
  </si>
  <si>
    <t>13A129</t>
  </si>
  <si>
    <t>이철형</t>
  </si>
  <si>
    <t>연도</t>
    <phoneticPr fontId="2" type="noConversion"/>
  </si>
  <si>
    <t>학과코드</t>
  </si>
  <si>
    <t>집전화</t>
  </si>
  <si>
    <t>평가</t>
    <phoneticPr fontId="2" type="noConversion"/>
  </si>
  <si>
    <t>비고</t>
    <phoneticPr fontId="2" type="noConversion"/>
  </si>
  <si>
    <t>B2</t>
  </si>
  <si>
    <t>8254-785</t>
  </si>
  <si>
    <t>B1</t>
  </si>
  <si>
    <t>882-4725</t>
  </si>
  <si>
    <t>C2</t>
  </si>
  <si>
    <t>845-7482</t>
  </si>
  <si>
    <t>825-2000</t>
  </si>
  <si>
    <t>A2</t>
  </si>
  <si>
    <t>882-2548</t>
  </si>
  <si>
    <t>845-7588</t>
  </si>
  <si>
    <t>578-7820</t>
  </si>
  <si>
    <t>724-4520</t>
  </si>
  <si>
    <t>A1</t>
  </si>
  <si>
    <t>825-2722</t>
  </si>
  <si>
    <t>842-8287</t>
  </si>
  <si>
    <t>845-8874</t>
  </si>
  <si>
    <t>858-8274</t>
  </si>
  <si>
    <t>485-8872</t>
  </si>
  <si>
    <t>488-8284</t>
  </si>
  <si>
    <t>C1</t>
  </si>
  <si>
    <t>784-2288</t>
  </si>
  <si>
    <t>285-8010</t>
  </si>
  <si>
    <t>882-2884</t>
  </si>
  <si>
    <t>784-8825</t>
  </si>
  <si>
    <t>857-4722</t>
  </si>
  <si>
    <t>827-8475</t>
  </si>
  <si>
    <t>828-8458</t>
  </si>
  <si>
    <t>828-8048</t>
  </si>
  <si>
    <t>780-4751</t>
  </si>
  <si>
    <t>287-2887</t>
  </si>
  <si>
    <t>750-2824</t>
  </si>
  <si>
    <t>[표2]</t>
    <phoneticPr fontId="2" type="noConversion"/>
  </si>
  <si>
    <t>조건</t>
    <phoneticPr fontId="2" type="noConversion"/>
  </si>
  <si>
    <t>학생수</t>
    <phoneticPr fontId="2" type="noConversion"/>
  </si>
  <si>
    <t>전공2평균</t>
    <phoneticPr fontId="2" type="noConversion"/>
  </si>
  <si>
    <t>TOEIC최고점수</t>
    <phoneticPr fontId="2" type="noConversion"/>
  </si>
  <si>
    <t>[표3]</t>
    <phoneticPr fontId="2" type="noConversion"/>
  </si>
  <si>
    <t>평균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</si>
  <si>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</si>
  <si>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</si>
  <si>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</si>
  <si>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A</t>
    <phoneticPr fontId="2" type="noConversion"/>
  </si>
  <si>
    <t>[표4] 학과별 전체 평균</t>
    <phoneticPr fontId="2" type="noConversion"/>
  </si>
  <si>
    <t>김예중</t>
    <phoneticPr fontId="2" type="noConversion"/>
  </si>
  <si>
    <t>13B201</t>
    <phoneticPr fontId="2" type="noConversion"/>
  </si>
  <si>
    <t>이선정</t>
    <phoneticPr fontId="2" type="noConversion"/>
  </si>
  <si>
    <t>13B125</t>
    <phoneticPr fontId="2" type="noConversion"/>
  </si>
  <si>
    <t>임지영</t>
    <phoneticPr fontId="2" type="noConversion"/>
  </si>
  <si>
    <t>13C216</t>
    <phoneticPr fontId="2" type="noConversion"/>
  </si>
  <si>
    <t>11B224</t>
  </si>
  <si>
    <t>평균 : TOEIC</t>
  </si>
  <si>
    <t>평균 : 컴퓨터</t>
  </si>
  <si>
    <t>평균 : 전공2</t>
  </si>
  <si>
    <t>1991년</t>
  </si>
  <si>
    <t>1993년</t>
  </si>
  <si>
    <t>1994년</t>
  </si>
  <si>
    <t>1990년</t>
  </si>
  <si>
    <t>1992년</t>
  </si>
  <si>
    <t>총합계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</si>
</sst>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_ "/>
  </numFmts>
  <fonts count="7" x14ac:knownFonts="1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5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</cellStyleXfs>
  <cellXfs count="5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0" borderId="2" xfId="1" applyFont="1" applyFill="1" applyBorder="1" applyAlignment="1">
      <alignment horizontal="center" wrapText="1"/>
    </xf>
    <xf numFmtId="14" fontId="5" fillId="0" borderId="2" xfId="1" applyNumberFormat="1" applyFont="1" applyFill="1" applyBorder="1" applyAlignment="1">
      <alignment horizontal="center" wrapText="1"/>
    </xf>
    <xf numFmtId="0" fontId="5" fillId="0" borderId="2" xfId="1" applyFont="1" applyFill="1" applyBorder="1" applyAlignment="1">
      <alignment wrapText="1"/>
    </xf>
    <xf numFmtId="0" fontId="5" fillId="0" borderId="2" xfId="1" applyFont="1" applyFill="1" applyBorder="1" applyAlignment="1">
      <alignment horizontal="right" wrapText="1"/>
    </xf>
    <xf numFmtId="0" fontId="5" fillId="0" borderId="0" xfId="1" applyFont="1" applyFill="1" applyBorder="1" applyAlignment="1">
      <alignment horizontal="center" wrapText="1"/>
    </xf>
    <xf numFmtId="0" fontId="5" fillId="0" borderId="1" xfId="2" applyFont="1" applyFill="1" applyBorder="1" applyAlignment="1">
      <alignment horizontal="center"/>
    </xf>
    <xf numFmtId="0" fontId="6" fillId="3" borderId="3" xfId="3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wrapText="1"/>
    </xf>
    <xf numFmtId="0" fontId="5" fillId="0" borderId="2" xfId="2" applyFont="1" applyFill="1" applyBorder="1" applyAlignment="1">
      <alignment horizontal="right" wrapText="1"/>
    </xf>
    <xf numFmtId="0" fontId="6" fillId="0" borderId="2" xfId="3" applyFont="1" applyFill="1" applyBorder="1" applyAlignment="1">
      <alignment horizontal="center" wrapText="1"/>
    </xf>
    <xf numFmtId="0" fontId="6" fillId="0" borderId="0" xfId="3" applyFont="1" applyFill="1" applyBorder="1" applyAlignment="1">
      <alignment horizontal="center" wrapText="1"/>
    </xf>
    <xf numFmtId="0" fontId="6" fillId="0" borderId="0" xfId="3" applyFont="1" applyFill="1" applyBorder="1" applyAlignment="1">
      <alignment horizontal="right" wrapText="1"/>
    </xf>
    <xf numFmtId="0" fontId="3" fillId="0" borderId="0" xfId="0" applyFont="1" applyFill="1" applyBorder="1" applyAlignment="1">
      <alignment horizontal="left" vertical="center"/>
    </xf>
    <xf numFmtId="0" fontId="6" fillId="0" borderId="4" xfId="3" applyFont="1" applyFill="1" applyBorder="1" applyAlignment="1">
      <alignment horizontal="center" wrapText="1"/>
    </xf>
    <xf numFmtId="0" fontId="6" fillId="3" borderId="4" xfId="3" applyFont="1" applyFill="1" applyBorder="1" applyAlignment="1">
      <alignment horizontal="center" wrapText="1"/>
    </xf>
    <xf numFmtId="0" fontId="3" fillId="0" borderId="4" xfId="0" applyFont="1" applyBorder="1" applyAlignment="1">
      <alignment horizontal="center" vertical="center"/>
    </xf>
    <xf numFmtId="0" fontId="5" fillId="3" borderId="4" xfId="2" applyFont="1" applyFill="1" applyBorder="1" applyAlignment="1">
      <alignment horizontal="center"/>
    </xf>
    <xf numFmtId="0" fontId="5" fillId="0" borderId="4" xfId="1" applyFont="1" applyFill="1" applyBorder="1" applyAlignment="1">
      <alignment wrapText="1"/>
    </xf>
    <xf numFmtId="0" fontId="0" fillId="0" borderId="4" xfId="0" applyBorder="1">
      <alignment vertical="center"/>
    </xf>
    <xf numFmtId="0" fontId="5" fillId="0" borderId="0" xfId="2" applyFont="1" applyFill="1" applyBorder="1" applyAlignment="1">
      <alignment horizontal="center" wrapText="1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5" fillId="2" borderId="1" xfId="4" applyFont="1" applyFill="1" applyBorder="1" applyAlignment="1">
      <alignment horizontal="center"/>
    </xf>
    <xf numFmtId="0" fontId="5" fillId="0" borderId="2" xfId="4" applyFont="1" applyFill="1" applyBorder="1" applyAlignment="1">
      <alignment wrapText="1"/>
    </xf>
    <xf numFmtId="0" fontId="1" fillId="4" borderId="7" xfId="0" applyFont="1" applyFill="1" applyBorder="1">
      <alignment vertical="center"/>
    </xf>
    <xf numFmtId="0" fontId="1" fillId="4" borderId="8" xfId="0" applyFont="1" applyFill="1" applyBorder="1">
      <alignment vertical="center"/>
    </xf>
    <xf numFmtId="0" fontId="1" fillId="4" borderId="9" xfId="0" applyFont="1" applyFill="1" applyBorder="1">
      <alignment vertical="center"/>
    </xf>
    <xf numFmtId="0" fontId="0" fillId="0" borderId="7" xfId="0" applyFont="1" applyBorder="1">
      <alignment vertical="center"/>
    </xf>
    <xf numFmtId="14" fontId="0" fillId="0" borderId="8" xfId="0" applyNumberFormat="1" applyFont="1" applyBorder="1" applyAlignment="1">
      <alignment horizontal="center"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0" xfId="0" applyFont="1" applyBorder="1">
      <alignment vertical="center"/>
    </xf>
    <xf numFmtId="14" fontId="0" fillId="0" borderId="11" xfId="0" applyNumberFormat="1" applyFont="1" applyBorder="1" applyAlignment="1">
      <alignment horizontal="center" vertical="center"/>
    </xf>
    <xf numFmtId="0" fontId="0" fillId="0" borderId="11" xfId="0" applyFont="1" applyBorder="1">
      <alignment vertical="center"/>
    </xf>
    <xf numFmtId="0" fontId="0" fillId="0" borderId="12" xfId="0" applyFont="1" applyBorder="1">
      <alignment vertical="center"/>
    </xf>
    <xf numFmtId="0" fontId="0" fillId="5" borderId="13" xfId="0" applyFont="1" applyFill="1" applyBorder="1">
      <alignment vertical="center"/>
    </xf>
    <xf numFmtId="0" fontId="0" fillId="5" borderId="14" xfId="0" applyFont="1" applyFill="1" applyBorder="1">
      <alignment vertical="center"/>
    </xf>
    <xf numFmtId="0" fontId="0" fillId="5" borderId="15" xfId="0" applyFont="1" applyFill="1" applyBorder="1">
      <alignment vertical="center"/>
    </xf>
    <xf numFmtId="0" fontId="1" fillId="4" borderId="16" xfId="0" applyFont="1" applyFill="1" applyBorder="1">
      <alignment vertical="center"/>
    </xf>
    <xf numFmtId="0" fontId="1" fillId="4" borderId="17" xfId="0" applyFont="1" applyFill="1" applyBorder="1">
      <alignment vertical="center"/>
    </xf>
    <xf numFmtId="0" fontId="1" fillId="4" borderId="18" xfId="0" applyFont="1" applyFill="1" applyBorder="1">
      <alignment vertical="center"/>
    </xf>
    <xf numFmtId="0" fontId="0" fillId="5" borderId="16" xfId="0" applyFont="1" applyFill="1" applyBorder="1">
      <alignment vertical="center"/>
    </xf>
    <xf numFmtId="0" fontId="0" fillId="5" borderId="17" xfId="0" applyFont="1" applyFill="1" applyBorder="1">
      <alignment vertical="center"/>
    </xf>
    <xf numFmtId="0" fontId="0" fillId="5" borderId="18" xfId="0" applyFont="1" applyFill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Font="1" applyBorder="1">
      <alignment vertical="center"/>
    </xf>
    <xf numFmtId="0" fontId="0" fillId="0" borderId="18" xfId="0" applyFont="1" applyBorder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</cellXfs>
  <cellStyles count="5">
    <cellStyle name="표준" xfId="0" builtinId="0"/>
    <cellStyle name="표준_Sheet1" xfId="3"/>
    <cellStyle name="표준_계산작업" xfId="2"/>
    <cellStyle name="표준_기본작업-2" xfId="1"/>
    <cellStyle name="표준_기타작업-2" xfId="4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미술학과</a:t>
            </a:r>
            <a:r>
              <a:rPr lang="en-US" altLang="ko-KR" sz="1500">
                <a:latin typeface="굴림체" panose="020B0609000101010101" pitchFamily="49" charset="-127"/>
                <a:ea typeface="굴림체" panose="020B0609000101010101" pitchFamily="49" charset="-127"/>
              </a:rPr>
              <a:t>/</a:t>
            </a: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디자인과 성적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'기타작업-1'!$G$3</c:f>
              <c:strCache>
                <c:ptCount val="1"/>
                <c:pt idx="0">
                  <c:v>전공2</c:v>
                </c:pt>
              </c:strCache>
            </c:strRef>
          </c:tx>
          <c:invertIfNegative val="0"/>
          <c:val>
            <c:numRef>
              <c:f>('기타작업-1'!$G$5,'기타작업-1'!$G$9:$G$10,'기타작업-1'!$G$13:$G$14)</c:f>
              <c:numCache>
                <c:formatCode>General</c:formatCode>
                <c:ptCount val="5"/>
                <c:pt idx="0">
                  <c:v>53</c:v>
                </c:pt>
                <c:pt idx="1">
                  <c:v>59</c:v>
                </c:pt>
                <c:pt idx="2">
                  <c:v>63</c:v>
                </c:pt>
                <c:pt idx="3">
                  <c:v>75</c:v>
                </c:pt>
                <c:pt idx="4">
                  <c:v>68</c:v>
                </c:pt>
              </c:numCache>
            </c:numRef>
          </c:val>
        </c:ser>
        <c:ser>
          <c:idx val="0"/>
          <c:order val="1"/>
          <c:tx>
            <c:strRef>
              <c:f>'기타작업-1'!$E$3</c:f>
              <c:strCache>
                <c:ptCount val="1"/>
                <c:pt idx="0">
                  <c:v>TOEIC</c:v>
                </c:pt>
              </c:strCache>
            </c:strRef>
          </c:tx>
          <c:invertIfNegative val="0"/>
          <c:cat>
            <c:strRef>
              <c:f>('기타작업-1'!$C$5,'기타작업-1'!$C$9:$C$10,'기타작업-1'!$C$13:$C$14)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('기타작업-1'!$E$5,'기타작업-1'!$E$9:$E$10,'기타작업-1'!$E$13:$E$14)</c:f>
              <c:numCache>
                <c:formatCode>General</c:formatCode>
                <c:ptCount val="5"/>
                <c:pt idx="0">
                  <c:v>64</c:v>
                </c:pt>
                <c:pt idx="1">
                  <c:v>84</c:v>
                </c:pt>
                <c:pt idx="2">
                  <c:v>87</c:v>
                </c:pt>
                <c:pt idx="3">
                  <c:v>56</c:v>
                </c:pt>
                <c:pt idx="4">
                  <c:v>71</c:v>
                </c:pt>
              </c:numCache>
            </c:numRef>
          </c:val>
        </c:ser>
        <c:ser>
          <c:idx val="1"/>
          <c:order val="2"/>
          <c:tx>
            <c:strRef>
              <c:f>'기타작업-1'!$F$3</c:f>
              <c:strCache>
                <c:ptCount val="1"/>
                <c:pt idx="0">
                  <c:v>컴퓨터</c:v>
                </c:pt>
              </c:strCache>
            </c:strRef>
          </c:tx>
          <c:invertIfNegative val="0"/>
          <c:dLbls>
            <c:dLbl>
              <c:idx val="3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movingAvg"/>
            <c:period val="3"/>
            <c:dispRSqr val="0"/>
            <c:dispEq val="0"/>
          </c:trendline>
          <c:cat>
            <c:strRef>
              <c:f>('기타작업-1'!$C$5,'기타작업-1'!$C$9:$C$10,'기타작업-1'!$C$13:$C$14)</c:f>
              <c:strCache>
                <c:ptCount val="5"/>
                <c:pt idx="0">
                  <c:v>이창섭</c:v>
                </c:pt>
                <c:pt idx="1">
                  <c:v>이욱현</c:v>
                </c:pt>
                <c:pt idx="2">
                  <c:v>박성미</c:v>
                </c:pt>
                <c:pt idx="3">
                  <c:v>배유정</c:v>
                </c:pt>
                <c:pt idx="4">
                  <c:v>이창명</c:v>
                </c:pt>
              </c:strCache>
            </c:strRef>
          </c:cat>
          <c:val>
            <c:numRef>
              <c:f>('기타작업-1'!$F$5,'기타작업-1'!$F$9:$F$10,'기타작업-1'!$F$13:$F$14)</c:f>
              <c:numCache>
                <c:formatCode>General</c:formatCode>
                <c:ptCount val="5"/>
                <c:pt idx="0">
                  <c:v>59</c:v>
                </c:pt>
                <c:pt idx="1">
                  <c:v>70</c:v>
                </c:pt>
                <c:pt idx="2">
                  <c:v>84</c:v>
                </c:pt>
                <c:pt idx="3">
                  <c:v>99</c:v>
                </c:pt>
                <c:pt idx="4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87520"/>
        <c:axId val="120189312"/>
      </c:barChart>
      <c:catAx>
        <c:axId val="120187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20189312"/>
        <c:crosses val="autoZero"/>
        <c:auto val="1"/>
        <c:lblAlgn val="ctr"/>
        <c:lblOffset val="100"/>
        <c:noMultiLvlLbl val="0"/>
      </c:catAx>
      <c:valAx>
        <c:axId val="12018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875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</xdr:row>
      <xdr:rowOff>0</xdr:rowOff>
    </xdr:from>
    <xdr:to>
      <xdr:col>12</xdr:col>
      <xdr:colOff>0</xdr:colOff>
      <xdr:row>13</xdr:row>
      <xdr:rowOff>0</xdr:rowOff>
    </xdr:to>
    <xdr:sp macro="[0]!학과별전체평균" textlink="">
      <xdr:nvSpPr>
        <xdr:cNvPr id="2" name="웃는 얼굴 1"/>
        <xdr:cNvSpPr/>
      </xdr:nvSpPr>
      <xdr:spPr>
        <a:xfrm>
          <a:off x="7439025" y="2095500"/>
          <a:ext cx="685800" cy="62865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200025</xdr:rowOff>
        </xdr:from>
        <xdr:to>
          <xdr:col>9</xdr:col>
          <xdr:colOff>819150</xdr:colOff>
          <xdr:row>3</xdr:row>
          <xdr:rowOff>0</xdr:rowOff>
        </xdr:to>
        <xdr:sp macro="" textlink="">
          <xdr:nvSpPr>
            <xdr:cNvPr id="3073" name="cmd성적관리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8.640730439816" createdVersion="4" refreshedVersion="4" minRefreshableVersion="3" recordCount="30">
  <cacheSource type="worksheet">
    <worksheetSource ref="A3:F33" sheet="분석작업-1"/>
  </cacheSource>
  <cacheFields count="6">
    <cacheField name="이름" numFmtId="0">
      <sharedItems/>
    </cacheField>
    <cacheField name="생년월일" numFmtId="14">
      <sharedItems containsSemiMixedTypes="0" containsNonDate="0" containsDate="1" containsString="0" minDate="1990-02-10T00:00:00" maxDate="1994-12-06T00:00:00" count="30">
        <d v="1993-06-29T00:00:00"/>
        <d v="1992-04-22T00:00:00"/>
        <d v="1991-03-04T00:00:00"/>
        <d v="1991-10-05T00:00:00"/>
        <d v="1992-12-03T00:00:00"/>
        <d v="1994-03-02T00:00:00"/>
        <d v="1991-06-06T00:00:00"/>
        <d v="1992-07-07T00:00:00"/>
        <d v="1993-02-03T00:00:00"/>
        <d v="1994-10-15T00:00:00"/>
        <d v="1994-05-01T00:00:00"/>
        <d v="1993-09-08T00:00:00"/>
        <d v="1993-02-19T00:00:00"/>
        <d v="1994-03-05T00:00:00"/>
        <d v="1994-02-22T00:00:00"/>
        <d v="1992-02-03T00:00:00"/>
        <d v="1994-04-29T00:00:00"/>
        <d v="1994-05-15T00:00:00"/>
        <d v="1993-05-18T00:00:00"/>
        <d v="1993-08-19T00:00:00"/>
        <d v="1994-12-05T00:00:00"/>
        <d v="1990-08-10T00:00:00"/>
        <d v="1994-05-20T00:00:00"/>
        <d v="1994-07-25T00:00:00"/>
        <d v="1994-11-30T00:00:00"/>
        <d v="1990-03-21T00:00:00"/>
        <d v="1990-02-10T00:00:00"/>
        <d v="1994-07-08T00:00:00"/>
        <d v="1994-05-29T00:00:00"/>
        <d v="1994-01-26T00:00:00"/>
      </sharedItems>
      <fieldGroup base="1">
        <rangePr groupBy="years" startDate="1990-02-10T00:00:00" endDate="1994-12-06T00:00:00"/>
        <groupItems count="7">
          <s v="&lt;1990-02-10"/>
          <s v="1990년"/>
          <s v="1991년"/>
          <s v="1992년"/>
          <s v="1993년"/>
          <s v="1994년"/>
          <s v="&gt;1994-12-06"/>
        </groupItems>
      </fieldGroup>
    </cacheField>
    <cacheField name="학과명" numFmtId="0">
      <sharedItems count="6">
        <s v="영문학과"/>
        <s v="컴퓨터공학과"/>
        <s v="미술학과"/>
        <s v="전산학과"/>
        <s v="디자인과"/>
        <s v="국어국문과"/>
      </sharedItems>
    </cacheField>
    <cacheField name="TOEIC" numFmtId="0">
      <sharedItems containsSemiMixedTypes="0" containsString="0" containsNumber="1" containsInteger="1" minValue="50" maxValue="97"/>
    </cacheField>
    <cacheField name="컴퓨터" numFmtId="0">
      <sharedItems containsSemiMixedTypes="0" containsString="0" containsNumber="1" containsInteger="1" minValue="50" maxValue="100"/>
    </cacheField>
    <cacheField name="전공2" numFmtId="0">
      <sharedItems containsSemiMixedTypes="0" containsString="0" containsNumber="1" containsInteger="1" minValue="51" maxValue="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너일주"/>
    <x v="0"/>
    <x v="0"/>
    <n v="68"/>
    <n v="100"/>
    <n v="51"/>
  </r>
  <r>
    <s v="김영란"/>
    <x v="1"/>
    <x v="1"/>
    <n v="92"/>
    <n v="87"/>
    <n v="90"/>
  </r>
  <r>
    <s v="박성미"/>
    <x v="2"/>
    <x v="2"/>
    <n v="87"/>
    <n v="84"/>
    <n v="63"/>
  </r>
  <r>
    <s v="조숙희"/>
    <x v="3"/>
    <x v="3"/>
    <n v="72"/>
    <n v="96"/>
    <n v="77"/>
  </r>
  <r>
    <s v="김광배"/>
    <x v="4"/>
    <x v="3"/>
    <n v="50"/>
    <n v="84"/>
    <n v="79"/>
  </r>
  <r>
    <s v="배유정"/>
    <x v="5"/>
    <x v="4"/>
    <n v="56"/>
    <n v="99"/>
    <n v="75"/>
  </r>
  <r>
    <s v="이숙영"/>
    <x v="6"/>
    <x v="5"/>
    <n v="77"/>
    <n v="89"/>
    <n v="92"/>
  </r>
  <r>
    <s v="손범수"/>
    <x v="7"/>
    <x v="2"/>
    <n v="79"/>
    <n v="94"/>
    <n v="69"/>
  </r>
  <r>
    <s v="진양혜"/>
    <x v="8"/>
    <x v="3"/>
    <n v="65"/>
    <n v="73"/>
    <n v="82"/>
  </r>
  <r>
    <s v="김건남"/>
    <x v="9"/>
    <x v="0"/>
    <n v="74"/>
    <n v="92"/>
    <n v="73"/>
  </r>
  <r>
    <s v="오성식"/>
    <x v="10"/>
    <x v="3"/>
    <n v="52"/>
    <n v="78"/>
    <n v="60"/>
  </r>
  <r>
    <s v="김상철"/>
    <x v="11"/>
    <x v="5"/>
    <n v="76"/>
    <n v="65"/>
    <n v="88"/>
  </r>
  <r>
    <s v="최옥자"/>
    <x v="12"/>
    <x v="0"/>
    <n v="61"/>
    <n v="98"/>
    <n v="68"/>
  </r>
  <r>
    <s v="송현우"/>
    <x v="13"/>
    <x v="5"/>
    <n v="86"/>
    <n v="66"/>
    <n v="87"/>
  </r>
  <r>
    <s v="이욱현"/>
    <x v="14"/>
    <x v="2"/>
    <n v="84"/>
    <n v="70"/>
    <n v="59"/>
  </r>
  <r>
    <s v="심상섭"/>
    <x v="15"/>
    <x v="1"/>
    <n v="97"/>
    <n v="98"/>
    <n v="85"/>
  </r>
  <r>
    <s v="권은영"/>
    <x v="16"/>
    <x v="0"/>
    <n v="68"/>
    <n v="50"/>
    <n v="89"/>
  </r>
  <r>
    <s v="이창섭"/>
    <x v="17"/>
    <x v="2"/>
    <n v="64"/>
    <n v="59"/>
    <n v="53"/>
  </r>
  <r>
    <s v="서호형"/>
    <x v="18"/>
    <x v="3"/>
    <n v="85"/>
    <n v="97"/>
    <n v="89"/>
  </r>
  <r>
    <s v="서원석"/>
    <x v="19"/>
    <x v="4"/>
    <n v="86"/>
    <n v="68"/>
    <n v="59"/>
  </r>
  <r>
    <s v="김미숙"/>
    <x v="20"/>
    <x v="1"/>
    <n v="82"/>
    <n v="88"/>
    <n v="54"/>
  </r>
  <r>
    <s v="곽영일"/>
    <x v="21"/>
    <x v="2"/>
    <n v="97"/>
    <n v="68"/>
    <n v="89"/>
  </r>
  <r>
    <s v="한영희"/>
    <x v="22"/>
    <x v="4"/>
    <n v="55"/>
    <n v="68"/>
    <n v="66"/>
  </r>
  <r>
    <s v="민들레"/>
    <x v="23"/>
    <x v="5"/>
    <n v="89"/>
    <n v="90"/>
    <n v="92"/>
  </r>
  <r>
    <s v="황유선"/>
    <x v="24"/>
    <x v="0"/>
    <n v="92"/>
    <n v="64"/>
    <n v="76"/>
  </r>
  <r>
    <s v="이창명"/>
    <x v="25"/>
    <x v="4"/>
    <n v="71"/>
    <n v="97"/>
    <n v="68"/>
  </r>
  <r>
    <s v="이무열"/>
    <x v="26"/>
    <x v="0"/>
    <n v="76"/>
    <n v="80"/>
    <n v="89"/>
  </r>
  <r>
    <s v="양창석"/>
    <x v="27"/>
    <x v="0"/>
    <n v="52"/>
    <n v="56"/>
    <n v="92"/>
  </r>
  <r>
    <s v="배동진"/>
    <x v="28"/>
    <x v="2"/>
    <n v="87"/>
    <n v="94"/>
    <n v="92"/>
  </r>
  <r>
    <s v="이철형"/>
    <x v="29"/>
    <x v="3"/>
    <n v="93"/>
    <n v="59"/>
    <n v="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2" cacheId="33" applyNumberFormats="0" applyBorderFormats="0" applyFontFormats="0" applyPatternFormats="0" applyAlignmentFormats="0" applyWidthHeightFormats="1" dataCaption="값" updatedVersion="4" minRefreshableVersion="3" useAutoFormatting="1" itemPrintTitles="1" createdVersion="4" indent="0" compact="0" outline="1" outlineData="1" compactData="0" multipleFieldFilters="0">
  <location ref="H3:L29" firstHeaderRow="0" firstDataRow="1" firstDataCol="2"/>
  <pivotFields count="6">
    <pivotField compact="0" showAll="0"/>
    <pivotField axis="axisRow" compact="0" numFmtId="14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showAll="0">
      <items count="7">
        <item x="5"/>
        <item x="4"/>
        <item x="2"/>
        <item x="0"/>
        <item x="3"/>
        <item x="1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2"/>
    <field x="1"/>
  </rowFields>
  <rowItems count="26">
    <i>
      <x/>
    </i>
    <i r="1">
      <x v="2"/>
    </i>
    <i r="1">
      <x v="4"/>
    </i>
    <i r="1">
      <x v="5"/>
    </i>
    <i>
      <x v="1"/>
    </i>
    <i r="1">
      <x v="1"/>
    </i>
    <i r="1">
      <x v="4"/>
    </i>
    <i r="1">
      <x v="5"/>
    </i>
    <i>
      <x v="2"/>
    </i>
    <i r="1">
      <x v="1"/>
    </i>
    <i r="1">
      <x v="2"/>
    </i>
    <i r="1">
      <x v="3"/>
    </i>
    <i r="1">
      <x v="5"/>
    </i>
    <i>
      <x v="3"/>
    </i>
    <i r="1">
      <x v="1"/>
    </i>
    <i r="1">
      <x v="4"/>
    </i>
    <i r="1">
      <x v="5"/>
    </i>
    <i>
      <x v="4"/>
    </i>
    <i r="1">
      <x v="2"/>
    </i>
    <i r="1">
      <x v="3"/>
    </i>
    <i r="1">
      <x v="4"/>
    </i>
    <i r="1">
      <x v="5"/>
    </i>
    <i>
      <x v="5"/>
    </i>
    <i r="1">
      <x v="3"/>
    </i>
    <i r="1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TOEIC" fld="3" subtotal="average" baseField="1" baseItem="5" numFmtId="176"/>
    <dataField name="평균 : 컴퓨터" fld="4" subtotal="average" baseField="1" baseItem="1" numFmtId="176"/>
    <dataField name="평균 : 전공2" fld="5" subtotal="average" baseField="1" baseItem="4" numFmtId="176"/>
  </dataFields>
  <pivotTableStyleInfo name="PivotStyleLight2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9"/>
  <sheetViews>
    <sheetView tabSelected="1" workbookViewId="0"/>
  </sheetViews>
  <sheetFormatPr defaultRowHeight="16.5" x14ac:dyDescent="0.3"/>
  <cols>
    <col min="1" max="1" width="5.125" customWidth="1"/>
    <col min="2" max="2" width="7.75" bestFit="1" customWidth="1"/>
    <col min="3" max="3" width="7.5" bestFit="1" customWidth="1"/>
    <col min="4" max="4" width="13" bestFit="1" customWidth="1"/>
    <col min="5" max="5" width="11.25" bestFit="1" customWidth="1"/>
    <col min="6" max="6" width="9.25" bestFit="1" customWidth="1"/>
    <col min="7" max="7" width="9.375" bestFit="1" customWidth="1"/>
    <col min="8" max="8" width="8.625" bestFit="1" customWidth="1"/>
  </cols>
  <sheetData>
    <row r="2" spans="2:8" x14ac:dyDescent="0.3">
      <c r="B2" s="43" t="s">
        <v>1</v>
      </c>
      <c r="C2" s="44" t="s">
        <v>2</v>
      </c>
      <c r="D2" s="44" t="s">
        <v>4</v>
      </c>
      <c r="E2" s="44" t="s">
        <v>5</v>
      </c>
      <c r="F2" s="44" t="s">
        <v>6</v>
      </c>
      <c r="G2" s="44" t="s">
        <v>7</v>
      </c>
      <c r="H2" s="45" t="s">
        <v>8</v>
      </c>
    </row>
    <row r="3" spans="2:8" x14ac:dyDescent="0.3">
      <c r="B3" s="46" t="s">
        <v>84</v>
      </c>
      <c r="C3" s="47" t="s">
        <v>85</v>
      </c>
      <c r="D3" s="47" t="s">
        <v>22</v>
      </c>
      <c r="E3" s="47" t="s">
        <v>23</v>
      </c>
      <c r="F3" s="47">
        <v>87</v>
      </c>
      <c r="G3" s="47">
        <v>94</v>
      </c>
      <c r="H3" s="48">
        <v>92</v>
      </c>
    </row>
    <row r="4" spans="2:8" x14ac:dyDescent="0.3">
      <c r="B4" s="49" t="s">
        <v>142</v>
      </c>
      <c r="C4" s="50" t="s">
        <v>26</v>
      </c>
      <c r="D4" s="50" t="s">
        <v>12</v>
      </c>
      <c r="E4" s="50" t="s">
        <v>13</v>
      </c>
      <c r="F4" s="50">
        <v>76</v>
      </c>
      <c r="G4" s="50">
        <v>80</v>
      </c>
      <c r="H4" s="51">
        <v>89</v>
      </c>
    </row>
    <row r="5" spans="2:8" x14ac:dyDescent="0.3">
      <c r="B5" s="46" t="s">
        <v>48</v>
      </c>
      <c r="C5" s="47" t="s">
        <v>49</v>
      </c>
      <c r="D5" s="47" t="s">
        <v>12</v>
      </c>
      <c r="E5" s="47" t="s">
        <v>13</v>
      </c>
      <c r="F5" s="47">
        <v>74</v>
      </c>
      <c r="G5" s="47">
        <v>92</v>
      </c>
      <c r="H5" s="48">
        <v>73</v>
      </c>
    </row>
    <row r="6" spans="2:8" x14ac:dyDescent="0.3">
      <c r="B6" s="49" t="s">
        <v>32</v>
      </c>
      <c r="C6" s="50" t="s">
        <v>33</v>
      </c>
      <c r="D6" s="50" t="s">
        <v>34</v>
      </c>
      <c r="E6" s="50" t="s">
        <v>35</v>
      </c>
      <c r="F6" s="50">
        <v>85</v>
      </c>
      <c r="G6" s="50">
        <v>97</v>
      </c>
      <c r="H6" s="51">
        <v>89</v>
      </c>
    </row>
    <row r="7" spans="2:8" x14ac:dyDescent="0.3">
      <c r="B7" s="46" t="s">
        <v>65</v>
      </c>
      <c r="C7" s="47" t="s">
        <v>66</v>
      </c>
      <c r="D7" s="47" t="s">
        <v>34</v>
      </c>
      <c r="E7" s="47" t="s">
        <v>35</v>
      </c>
      <c r="F7" s="47">
        <v>72</v>
      </c>
      <c r="G7" s="47">
        <v>96</v>
      </c>
      <c r="H7" s="48">
        <v>77</v>
      </c>
    </row>
    <row r="8" spans="2:8" x14ac:dyDescent="0.3">
      <c r="B8" s="49" t="s">
        <v>60</v>
      </c>
      <c r="C8" s="50" t="s">
        <v>61</v>
      </c>
      <c r="D8" s="50" t="s">
        <v>42</v>
      </c>
      <c r="E8" s="50" t="s">
        <v>43</v>
      </c>
      <c r="F8" s="50">
        <v>92</v>
      </c>
      <c r="G8" s="50">
        <v>87</v>
      </c>
      <c r="H8" s="51">
        <v>90</v>
      </c>
    </row>
    <row r="9" spans="2:8" x14ac:dyDescent="0.3">
      <c r="B9" s="40" t="s">
        <v>72</v>
      </c>
      <c r="C9" s="41" t="s">
        <v>73</v>
      </c>
      <c r="D9" s="41" t="s">
        <v>42</v>
      </c>
      <c r="E9" s="41" t="s">
        <v>43</v>
      </c>
      <c r="F9" s="41">
        <v>97</v>
      </c>
      <c r="G9" s="41">
        <v>98</v>
      </c>
      <c r="H9" s="42">
        <v>85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45"/>
  <sheetViews>
    <sheetView workbookViewId="0"/>
  </sheetViews>
  <sheetFormatPr defaultRowHeight="16.5" x14ac:dyDescent="0.3"/>
  <cols>
    <col min="1" max="1" width="2" style="1" customWidth="1"/>
    <col min="2" max="2" width="11.375" style="1" customWidth="1"/>
    <col min="3" max="3" width="10.375" style="1" customWidth="1"/>
    <col min="4" max="4" width="13.125" style="1" customWidth="1"/>
    <col min="5" max="5" width="14.375" style="1" customWidth="1"/>
    <col min="6" max="6" width="12.25" style="1" customWidth="1"/>
    <col min="7" max="9" width="9" style="1"/>
    <col min="10" max="10" width="9" style="2"/>
    <col min="11" max="16384" width="9" style="1"/>
  </cols>
  <sheetData>
    <row r="2" spans="2:10" x14ac:dyDescent="0.3">
      <c r="B2" s="1" t="s">
        <v>0</v>
      </c>
    </row>
    <row r="3" spans="2:10" x14ac:dyDescent="0.3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</row>
    <row r="4" spans="2:10" x14ac:dyDescent="0.3">
      <c r="B4" s="4" t="s">
        <v>10</v>
      </c>
      <c r="C4" s="4" t="s">
        <v>11</v>
      </c>
      <c r="D4" s="5">
        <v>34149</v>
      </c>
      <c r="E4" s="6" t="s">
        <v>12</v>
      </c>
      <c r="F4" s="4" t="s">
        <v>13</v>
      </c>
      <c r="G4" s="7">
        <v>68</v>
      </c>
      <c r="H4" s="7">
        <v>100</v>
      </c>
      <c r="I4" s="7">
        <v>51</v>
      </c>
      <c r="J4" s="4" t="s">
        <v>14</v>
      </c>
    </row>
    <row r="5" spans="2:10" x14ac:dyDescent="0.3">
      <c r="B5" s="4" t="s">
        <v>15</v>
      </c>
      <c r="C5" s="4" t="s">
        <v>16</v>
      </c>
      <c r="D5" s="5">
        <v>33395</v>
      </c>
      <c r="E5" s="6" t="s">
        <v>17</v>
      </c>
      <c r="F5" s="4" t="s">
        <v>18</v>
      </c>
      <c r="G5" s="7">
        <v>77</v>
      </c>
      <c r="H5" s="7">
        <v>89</v>
      </c>
      <c r="I5" s="7">
        <v>92</v>
      </c>
      <c r="J5" s="4" t="s">
        <v>19</v>
      </c>
    </row>
    <row r="6" spans="2:10" x14ac:dyDescent="0.3">
      <c r="B6" s="4" t="s">
        <v>20</v>
      </c>
      <c r="C6" s="4" t="s">
        <v>21</v>
      </c>
      <c r="D6" s="5">
        <v>33792</v>
      </c>
      <c r="E6" s="6" t="s">
        <v>22</v>
      </c>
      <c r="F6" s="4" t="s">
        <v>23</v>
      </c>
      <c r="G6" s="7">
        <v>79</v>
      </c>
      <c r="H6" s="7">
        <v>94</v>
      </c>
      <c r="I6" s="7">
        <v>69</v>
      </c>
      <c r="J6" s="4" t="s">
        <v>24</v>
      </c>
    </row>
    <row r="7" spans="2:10" x14ac:dyDescent="0.3">
      <c r="B7" s="4" t="s">
        <v>25</v>
      </c>
      <c r="C7" s="4" t="s">
        <v>26</v>
      </c>
      <c r="D7" s="5">
        <v>32914</v>
      </c>
      <c r="E7" s="6" t="s">
        <v>12</v>
      </c>
      <c r="F7" s="4" t="s">
        <v>13</v>
      </c>
      <c r="G7" s="7">
        <v>76</v>
      </c>
      <c r="H7" s="7">
        <v>80</v>
      </c>
      <c r="I7" s="7">
        <v>89</v>
      </c>
      <c r="J7" s="4" t="s">
        <v>19</v>
      </c>
    </row>
    <row r="8" spans="2:10" x14ac:dyDescent="0.3">
      <c r="B8" s="4" t="s">
        <v>27</v>
      </c>
      <c r="C8" s="4" t="s">
        <v>28</v>
      </c>
      <c r="D8" s="5">
        <v>34453</v>
      </c>
      <c r="E8" s="6" t="s">
        <v>12</v>
      </c>
      <c r="F8" s="4" t="s">
        <v>13</v>
      </c>
      <c r="G8" s="7">
        <v>68</v>
      </c>
      <c r="H8" s="7">
        <v>50</v>
      </c>
      <c r="I8" s="7">
        <v>89</v>
      </c>
      <c r="J8" s="4" t="s">
        <v>24</v>
      </c>
    </row>
    <row r="9" spans="2:10" x14ac:dyDescent="0.3">
      <c r="B9" s="4" t="s">
        <v>29</v>
      </c>
      <c r="C9" s="4" t="s">
        <v>30</v>
      </c>
      <c r="D9" s="5">
        <v>34469</v>
      </c>
      <c r="E9" s="6" t="s">
        <v>22</v>
      </c>
      <c r="F9" s="4" t="s">
        <v>23</v>
      </c>
      <c r="G9" s="7">
        <v>64</v>
      </c>
      <c r="H9" s="7">
        <v>59</v>
      </c>
      <c r="I9" s="7">
        <v>53</v>
      </c>
      <c r="J9" s="4" t="s">
        <v>31</v>
      </c>
    </row>
    <row r="10" spans="2:10" x14ac:dyDescent="0.3">
      <c r="B10" s="4" t="s">
        <v>32</v>
      </c>
      <c r="C10" s="4" t="s">
        <v>33</v>
      </c>
      <c r="D10" s="5">
        <v>34107</v>
      </c>
      <c r="E10" s="6" t="s">
        <v>34</v>
      </c>
      <c r="F10" s="4" t="s">
        <v>35</v>
      </c>
      <c r="G10" s="7">
        <v>85</v>
      </c>
      <c r="H10" s="7">
        <v>97</v>
      </c>
      <c r="I10" s="7">
        <v>89</v>
      </c>
      <c r="J10" s="4" t="s">
        <v>19</v>
      </c>
    </row>
    <row r="11" spans="2:10" x14ac:dyDescent="0.3">
      <c r="B11" s="4" t="s">
        <v>36</v>
      </c>
      <c r="C11" s="4" t="s">
        <v>37</v>
      </c>
      <c r="D11" s="5">
        <v>34200</v>
      </c>
      <c r="E11" s="6" t="s">
        <v>38</v>
      </c>
      <c r="F11" s="4" t="s">
        <v>39</v>
      </c>
      <c r="G11" s="7">
        <v>86</v>
      </c>
      <c r="H11" s="7">
        <v>68</v>
      </c>
      <c r="I11" s="7">
        <v>59</v>
      </c>
      <c r="J11" s="4" t="s">
        <v>14</v>
      </c>
    </row>
    <row r="12" spans="2:10" x14ac:dyDescent="0.3">
      <c r="B12" s="4" t="s">
        <v>40</v>
      </c>
      <c r="C12" s="4" t="s">
        <v>41</v>
      </c>
      <c r="D12" s="5">
        <v>34673</v>
      </c>
      <c r="E12" s="6" t="s">
        <v>42</v>
      </c>
      <c r="F12" s="4" t="s">
        <v>43</v>
      </c>
      <c r="G12" s="7">
        <v>82</v>
      </c>
      <c r="H12" s="7">
        <v>88</v>
      </c>
      <c r="I12" s="7">
        <v>54</v>
      </c>
      <c r="J12" s="4" t="s">
        <v>14</v>
      </c>
    </row>
    <row r="13" spans="2:10" x14ac:dyDescent="0.3">
      <c r="B13" s="4" t="s">
        <v>44</v>
      </c>
      <c r="C13" s="4" t="s">
        <v>45</v>
      </c>
      <c r="D13" s="5">
        <v>33095</v>
      </c>
      <c r="E13" s="6" t="s">
        <v>22</v>
      </c>
      <c r="F13" s="4" t="s">
        <v>23</v>
      </c>
      <c r="G13" s="7">
        <v>97</v>
      </c>
      <c r="H13" s="7">
        <v>68</v>
      </c>
      <c r="I13" s="7">
        <v>89</v>
      </c>
      <c r="J13" s="4" t="s">
        <v>19</v>
      </c>
    </row>
    <row r="14" spans="2:10" x14ac:dyDescent="0.3">
      <c r="B14" s="4" t="s">
        <v>46</v>
      </c>
      <c r="C14" s="4" t="s">
        <v>47</v>
      </c>
      <c r="D14" s="5">
        <v>34003</v>
      </c>
      <c r="E14" s="6" t="s">
        <v>34</v>
      </c>
      <c r="F14" s="4" t="s">
        <v>35</v>
      </c>
      <c r="G14" s="7">
        <v>65</v>
      </c>
      <c r="H14" s="7">
        <v>73</v>
      </c>
      <c r="I14" s="7">
        <v>82</v>
      </c>
      <c r="J14" s="4" t="s">
        <v>24</v>
      </c>
    </row>
    <row r="15" spans="2:10" x14ac:dyDescent="0.3">
      <c r="B15" s="4" t="s">
        <v>48</v>
      </c>
      <c r="C15" s="4" t="s">
        <v>49</v>
      </c>
      <c r="D15" s="5">
        <v>34622</v>
      </c>
      <c r="E15" s="6" t="s">
        <v>12</v>
      </c>
      <c r="F15" s="4" t="s">
        <v>13</v>
      </c>
      <c r="G15" s="7">
        <v>74</v>
      </c>
      <c r="H15" s="7">
        <v>92</v>
      </c>
      <c r="I15" s="7">
        <v>73</v>
      </c>
      <c r="J15" s="4" t="s">
        <v>24</v>
      </c>
    </row>
    <row r="16" spans="2:10" x14ac:dyDescent="0.3">
      <c r="B16" s="4" t="s">
        <v>50</v>
      </c>
      <c r="C16" s="4" t="s">
        <v>51</v>
      </c>
      <c r="D16" s="5">
        <v>34455</v>
      </c>
      <c r="E16" s="6" t="s">
        <v>34</v>
      </c>
      <c r="F16" s="4" t="s">
        <v>35</v>
      </c>
      <c r="G16" s="7">
        <v>52</v>
      </c>
      <c r="H16" s="7">
        <v>78</v>
      </c>
      <c r="I16" s="7">
        <v>60</v>
      </c>
      <c r="J16" s="4" t="s">
        <v>14</v>
      </c>
    </row>
    <row r="17" spans="2:10" x14ac:dyDescent="0.3">
      <c r="B17" s="4" t="s">
        <v>52</v>
      </c>
      <c r="C17" s="4" t="s">
        <v>53</v>
      </c>
      <c r="D17" s="5">
        <v>34220</v>
      </c>
      <c r="E17" s="6" t="s">
        <v>17</v>
      </c>
      <c r="F17" s="4" t="s">
        <v>18</v>
      </c>
      <c r="G17" s="7">
        <v>76</v>
      </c>
      <c r="H17" s="7">
        <v>65</v>
      </c>
      <c r="I17" s="7">
        <v>88</v>
      </c>
      <c r="J17" s="4" t="s">
        <v>24</v>
      </c>
    </row>
    <row r="18" spans="2:10" x14ac:dyDescent="0.3">
      <c r="B18" s="4" t="s">
        <v>54</v>
      </c>
      <c r="C18" s="4" t="s">
        <v>55</v>
      </c>
      <c r="D18" s="5">
        <v>34019</v>
      </c>
      <c r="E18" s="6" t="s">
        <v>12</v>
      </c>
      <c r="F18" s="4" t="s">
        <v>13</v>
      </c>
      <c r="G18" s="7">
        <v>61</v>
      </c>
      <c r="H18" s="7">
        <v>98</v>
      </c>
      <c r="I18" s="7">
        <v>68</v>
      </c>
      <c r="J18" s="4" t="s">
        <v>24</v>
      </c>
    </row>
    <row r="19" spans="2:10" x14ac:dyDescent="0.3">
      <c r="B19" s="4" t="s">
        <v>56</v>
      </c>
      <c r="C19" s="4" t="s">
        <v>57</v>
      </c>
      <c r="D19" s="5">
        <v>34398</v>
      </c>
      <c r="E19" s="6" t="s">
        <v>17</v>
      </c>
      <c r="F19" s="4" t="s">
        <v>18</v>
      </c>
      <c r="G19" s="7">
        <v>86</v>
      </c>
      <c r="H19" s="7">
        <v>66</v>
      </c>
      <c r="I19" s="7">
        <v>87</v>
      </c>
      <c r="J19" s="4" t="s">
        <v>19</v>
      </c>
    </row>
    <row r="20" spans="2:10" x14ac:dyDescent="0.3">
      <c r="B20" s="4" t="s">
        <v>58</v>
      </c>
      <c r="C20" s="4" t="s">
        <v>59</v>
      </c>
      <c r="D20" s="5">
        <v>34387</v>
      </c>
      <c r="E20" s="6" t="s">
        <v>22</v>
      </c>
      <c r="F20" s="4" t="s">
        <v>23</v>
      </c>
      <c r="G20" s="7">
        <v>84</v>
      </c>
      <c r="H20" s="7">
        <v>70</v>
      </c>
      <c r="I20" s="7">
        <v>59</v>
      </c>
      <c r="J20" s="4" t="s">
        <v>14</v>
      </c>
    </row>
    <row r="21" spans="2:10" x14ac:dyDescent="0.3">
      <c r="B21" s="4" t="s">
        <v>60</v>
      </c>
      <c r="C21" s="4" t="s">
        <v>61</v>
      </c>
      <c r="D21" s="5">
        <v>33716</v>
      </c>
      <c r="E21" s="6" t="s">
        <v>42</v>
      </c>
      <c r="F21" s="4" t="s">
        <v>43</v>
      </c>
      <c r="G21" s="7">
        <v>92</v>
      </c>
      <c r="H21" s="7">
        <v>87</v>
      </c>
      <c r="I21" s="7">
        <v>90</v>
      </c>
      <c r="J21" s="4" t="s">
        <v>62</v>
      </c>
    </row>
    <row r="22" spans="2:10" x14ac:dyDescent="0.3">
      <c r="B22" s="4" t="s">
        <v>63</v>
      </c>
      <c r="C22" s="4" t="s">
        <v>64</v>
      </c>
      <c r="D22" s="5">
        <v>33301</v>
      </c>
      <c r="E22" s="6" t="s">
        <v>22</v>
      </c>
      <c r="F22" s="4" t="s">
        <v>23</v>
      </c>
      <c r="G22" s="7">
        <v>87</v>
      </c>
      <c r="H22" s="7">
        <v>84</v>
      </c>
      <c r="I22" s="7">
        <v>63</v>
      </c>
      <c r="J22" s="4" t="s">
        <v>24</v>
      </c>
    </row>
    <row r="23" spans="2:10" x14ac:dyDescent="0.3">
      <c r="B23" s="4" t="s">
        <v>65</v>
      </c>
      <c r="C23" s="4" t="s">
        <v>66</v>
      </c>
      <c r="D23" s="5">
        <v>33516</v>
      </c>
      <c r="E23" s="6" t="s">
        <v>34</v>
      </c>
      <c r="F23" s="4" t="s">
        <v>35</v>
      </c>
      <c r="G23" s="7">
        <v>72</v>
      </c>
      <c r="H23" s="7">
        <v>96</v>
      </c>
      <c r="I23" s="7">
        <v>77</v>
      </c>
      <c r="J23" s="4" t="s">
        <v>24</v>
      </c>
    </row>
    <row r="24" spans="2:10" x14ac:dyDescent="0.3">
      <c r="B24" s="4" t="s">
        <v>67</v>
      </c>
      <c r="C24" s="4" t="s">
        <v>68</v>
      </c>
      <c r="D24" s="5">
        <v>33941</v>
      </c>
      <c r="E24" s="6" t="s">
        <v>34</v>
      </c>
      <c r="F24" s="4" t="s">
        <v>35</v>
      </c>
      <c r="G24" s="7">
        <v>70</v>
      </c>
      <c r="H24" s="7">
        <v>84</v>
      </c>
      <c r="I24" s="7">
        <v>79</v>
      </c>
      <c r="J24" s="4" t="s">
        <v>69</v>
      </c>
    </row>
    <row r="25" spans="2:10" x14ac:dyDescent="0.3">
      <c r="B25" s="4" t="s">
        <v>70</v>
      </c>
      <c r="C25" s="4" t="s">
        <v>71</v>
      </c>
      <c r="D25" s="5">
        <v>34395</v>
      </c>
      <c r="E25" s="6" t="s">
        <v>38</v>
      </c>
      <c r="F25" s="4" t="s">
        <v>39</v>
      </c>
      <c r="G25" s="7">
        <v>56</v>
      </c>
      <c r="H25" s="7">
        <v>99</v>
      </c>
      <c r="I25" s="7">
        <v>75</v>
      </c>
      <c r="J25" s="4" t="s">
        <v>24</v>
      </c>
    </row>
    <row r="26" spans="2:10" x14ac:dyDescent="0.3">
      <c r="B26" s="4" t="s">
        <v>72</v>
      </c>
      <c r="C26" s="4" t="s">
        <v>73</v>
      </c>
      <c r="D26" s="5">
        <v>33637</v>
      </c>
      <c r="E26" s="6" t="s">
        <v>42</v>
      </c>
      <c r="F26" s="4" t="s">
        <v>43</v>
      </c>
      <c r="G26" s="7">
        <v>97</v>
      </c>
      <c r="H26" s="7">
        <v>98</v>
      </c>
      <c r="I26" s="7">
        <v>85</v>
      </c>
      <c r="J26" s="4" t="s">
        <v>62</v>
      </c>
    </row>
    <row r="27" spans="2:10" x14ac:dyDescent="0.3">
      <c r="B27" s="4" t="s">
        <v>74</v>
      </c>
      <c r="C27" s="4" t="s">
        <v>75</v>
      </c>
      <c r="D27" s="5">
        <v>34474</v>
      </c>
      <c r="E27" s="6" t="s">
        <v>38</v>
      </c>
      <c r="F27" s="4" t="s">
        <v>39</v>
      </c>
      <c r="G27" s="7">
        <v>55</v>
      </c>
      <c r="H27" s="7">
        <v>68</v>
      </c>
      <c r="I27" s="7">
        <v>66</v>
      </c>
      <c r="J27" s="4" t="s">
        <v>14</v>
      </c>
    </row>
    <row r="28" spans="2:10" x14ac:dyDescent="0.3">
      <c r="B28" s="4" t="s">
        <v>76</v>
      </c>
      <c r="C28" s="4" t="s">
        <v>77</v>
      </c>
      <c r="D28" s="5">
        <v>34540</v>
      </c>
      <c r="E28" s="6" t="s">
        <v>17</v>
      </c>
      <c r="F28" s="4" t="s">
        <v>18</v>
      </c>
      <c r="G28" s="7">
        <v>89</v>
      </c>
      <c r="H28" s="7">
        <v>90</v>
      </c>
      <c r="I28" s="7">
        <v>92</v>
      </c>
      <c r="J28" s="4" t="s">
        <v>62</v>
      </c>
    </row>
    <row r="29" spans="2:10" x14ac:dyDescent="0.3">
      <c r="B29" s="4" t="s">
        <v>78</v>
      </c>
      <c r="C29" s="4" t="s">
        <v>79</v>
      </c>
      <c r="D29" s="5">
        <v>34668</v>
      </c>
      <c r="E29" s="6" t="s">
        <v>12</v>
      </c>
      <c r="F29" s="4" t="s">
        <v>13</v>
      </c>
      <c r="G29" s="7">
        <v>92</v>
      </c>
      <c r="H29" s="7">
        <v>64</v>
      </c>
      <c r="I29" s="7">
        <v>76</v>
      </c>
      <c r="J29" s="4" t="s">
        <v>24</v>
      </c>
    </row>
    <row r="30" spans="2:10" x14ac:dyDescent="0.3">
      <c r="B30" s="4" t="s">
        <v>80</v>
      </c>
      <c r="C30" s="4" t="s">
        <v>81</v>
      </c>
      <c r="D30" s="5">
        <v>32953</v>
      </c>
      <c r="E30" s="6" t="s">
        <v>38</v>
      </c>
      <c r="F30" s="4" t="s">
        <v>39</v>
      </c>
      <c r="G30" s="7">
        <v>71</v>
      </c>
      <c r="H30" s="7">
        <v>97</v>
      </c>
      <c r="I30" s="7">
        <v>68</v>
      </c>
      <c r="J30" s="4" t="s">
        <v>24</v>
      </c>
    </row>
    <row r="31" spans="2:10" x14ac:dyDescent="0.3">
      <c r="B31" s="4" t="s">
        <v>82</v>
      </c>
      <c r="C31" s="4" t="s">
        <v>83</v>
      </c>
      <c r="D31" s="5">
        <v>34523</v>
      </c>
      <c r="E31" s="6" t="s">
        <v>12</v>
      </c>
      <c r="F31" s="4" t="s">
        <v>13</v>
      </c>
      <c r="G31" s="7">
        <v>52</v>
      </c>
      <c r="H31" s="7">
        <v>56</v>
      </c>
      <c r="I31" s="7">
        <v>92</v>
      </c>
      <c r="J31" s="4" t="s">
        <v>24</v>
      </c>
    </row>
    <row r="32" spans="2:10" x14ac:dyDescent="0.3">
      <c r="B32" s="4" t="s">
        <v>84</v>
      </c>
      <c r="C32" s="4" t="s">
        <v>85</v>
      </c>
      <c r="D32" s="5">
        <v>34483</v>
      </c>
      <c r="E32" s="6" t="s">
        <v>22</v>
      </c>
      <c r="F32" s="4" t="s">
        <v>23</v>
      </c>
      <c r="G32" s="7">
        <v>87</v>
      </c>
      <c r="H32" s="7">
        <v>94</v>
      </c>
      <c r="I32" s="7">
        <v>92</v>
      </c>
      <c r="J32" s="4" t="s">
        <v>62</v>
      </c>
    </row>
    <row r="33" spans="2:10" x14ac:dyDescent="0.3">
      <c r="B33" s="4" t="s">
        <v>86</v>
      </c>
      <c r="C33" s="4" t="s">
        <v>87</v>
      </c>
      <c r="D33" s="5">
        <v>34360</v>
      </c>
      <c r="E33" s="6" t="s">
        <v>34</v>
      </c>
      <c r="F33" s="4" t="s">
        <v>35</v>
      </c>
      <c r="G33" s="7">
        <v>93</v>
      </c>
      <c r="H33" s="7">
        <v>59</v>
      </c>
      <c r="I33" s="7">
        <v>85</v>
      </c>
      <c r="J33" s="4" t="s">
        <v>19</v>
      </c>
    </row>
    <row r="34" spans="2:10" x14ac:dyDescent="0.3">
      <c r="F34" s="2"/>
    </row>
    <row r="35" spans="2:10" x14ac:dyDescent="0.3">
      <c r="B35" s="8" t="s">
        <v>88</v>
      </c>
    </row>
    <row r="36" spans="2:10" x14ac:dyDescent="0.3">
      <c r="B36" s="1" t="b">
        <f>AND(YEAR(D4)&gt;=1991,YEAR(D4)&lt;=1992)</f>
        <v>0</v>
      </c>
    </row>
    <row r="38" spans="2:10" x14ac:dyDescent="0.3">
      <c r="B38" s="3" t="s">
        <v>1</v>
      </c>
      <c r="C38" s="3" t="s">
        <v>2</v>
      </c>
      <c r="D38" s="3" t="s">
        <v>3</v>
      </c>
      <c r="E38" s="3" t="s">
        <v>4</v>
      </c>
      <c r="F38" s="3" t="s">
        <v>5</v>
      </c>
      <c r="G38" s="3" t="s">
        <v>6</v>
      </c>
      <c r="H38" s="3" t="s">
        <v>7</v>
      </c>
      <c r="I38" s="3" t="s">
        <v>8</v>
      </c>
      <c r="J38" s="3" t="s">
        <v>9</v>
      </c>
    </row>
    <row r="39" spans="2:10" x14ac:dyDescent="0.3">
      <c r="B39" s="4" t="s">
        <v>15</v>
      </c>
      <c r="C39" s="4" t="s">
        <v>16</v>
      </c>
      <c r="D39" s="5">
        <v>33395</v>
      </c>
      <c r="E39" s="6" t="s">
        <v>17</v>
      </c>
      <c r="F39" s="4" t="s">
        <v>18</v>
      </c>
      <c r="G39" s="7">
        <v>77</v>
      </c>
      <c r="H39" s="7">
        <v>89</v>
      </c>
      <c r="I39" s="7">
        <v>92</v>
      </c>
      <c r="J39" s="4" t="s">
        <v>19</v>
      </c>
    </row>
    <row r="40" spans="2:10" x14ac:dyDescent="0.3">
      <c r="B40" s="4" t="s">
        <v>20</v>
      </c>
      <c r="C40" s="4" t="s">
        <v>21</v>
      </c>
      <c r="D40" s="5">
        <v>33792</v>
      </c>
      <c r="E40" s="6" t="s">
        <v>22</v>
      </c>
      <c r="F40" s="4" t="s">
        <v>23</v>
      </c>
      <c r="G40" s="7">
        <v>79</v>
      </c>
      <c r="H40" s="7">
        <v>94</v>
      </c>
      <c r="I40" s="7">
        <v>69</v>
      </c>
      <c r="J40" s="4" t="s">
        <v>24</v>
      </c>
    </row>
    <row r="41" spans="2:10" x14ac:dyDescent="0.3">
      <c r="B41" s="4" t="s">
        <v>60</v>
      </c>
      <c r="C41" s="4" t="s">
        <v>61</v>
      </c>
      <c r="D41" s="5">
        <v>33716</v>
      </c>
      <c r="E41" s="6" t="s">
        <v>42</v>
      </c>
      <c r="F41" s="4" t="s">
        <v>43</v>
      </c>
      <c r="G41" s="7">
        <v>92</v>
      </c>
      <c r="H41" s="7">
        <v>87</v>
      </c>
      <c r="I41" s="7">
        <v>90</v>
      </c>
      <c r="J41" s="4" t="s">
        <v>62</v>
      </c>
    </row>
    <row r="42" spans="2:10" x14ac:dyDescent="0.3">
      <c r="B42" s="4" t="s">
        <v>63</v>
      </c>
      <c r="C42" s="4" t="s">
        <v>64</v>
      </c>
      <c r="D42" s="5">
        <v>33301</v>
      </c>
      <c r="E42" s="6" t="s">
        <v>22</v>
      </c>
      <c r="F42" s="4" t="s">
        <v>23</v>
      </c>
      <c r="G42" s="7">
        <v>87</v>
      </c>
      <c r="H42" s="7">
        <v>84</v>
      </c>
      <c r="I42" s="7">
        <v>63</v>
      </c>
      <c r="J42" s="4" t="s">
        <v>24</v>
      </c>
    </row>
    <row r="43" spans="2:10" x14ac:dyDescent="0.3">
      <c r="B43" s="4" t="s">
        <v>65</v>
      </c>
      <c r="C43" s="4" t="s">
        <v>66</v>
      </c>
      <c r="D43" s="5">
        <v>33516</v>
      </c>
      <c r="E43" s="6" t="s">
        <v>34</v>
      </c>
      <c r="F43" s="4" t="s">
        <v>35</v>
      </c>
      <c r="G43" s="7">
        <v>72</v>
      </c>
      <c r="H43" s="7">
        <v>96</v>
      </c>
      <c r="I43" s="7">
        <v>77</v>
      </c>
      <c r="J43" s="4" t="s">
        <v>24</v>
      </c>
    </row>
    <row r="44" spans="2:10" x14ac:dyDescent="0.3">
      <c r="B44" s="4" t="s">
        <v>67</v>
      </c>
      <c r="C44" s="4" t="s">
        <v>68</v>
      </c>
      <c r="D44" s="5">
        <v>33941</v>
      </c>
      <c r="E44" s="6" t="s">
        <v>34</v>
      </c>
      <c r="F44" s="4" t="s">
        <v>35</v>
      </c>
      <c r="G44" s="7">
        <v>70</v>
      </c>
      <c r="H44" s="7">
        <v>84</v>
      </c>
      <c r="I44" s="7">
        <v>79</v>
      </c>
      <c r="J44" s="4" t="s">
        <v>69</v>
      </c>
    </row>
    <row r="45" spans="2:10" x14ac:dyDescent="0.3">
      <c r="B45" s="4" t="s">
        <v>72</v>
      </c>
      <c r="C45" s="4" t="s">
        <v>73</v>
      </c>
      <c r="D45" s="5">
        <v>33637</v>
      </c>
      <c r="E45" s="6" t="s">
        <v>42</v>
      </c>
      <c r="F45" s="4" t="s">
        <v>43</v>
      </c>
      <c r="G45" s="7">
        <v>97</v>
      </c>
      <c r="H45" s="7">
        <v>98</v>
      </c>
      <c r="I45" s="7">
        <v>85</v>
      </c>
      <c r="J45" s="4" t="s">
        <v>62</v>
      </c>
    </row>
  </sheetData>
  <phoneticPr fontId="2" type="noConversion"/>
  <conditionalFormatting sqref="B4:J33">
    <cfRule type="expression" dxfId="0" priority="1">
      <formula>AND(VALUE(LEFT($B4,2))&lt;=12,$J4="B")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65"/>
  <sheetViews>
    <sheetView workbookViewId="0"/>
  </sheetViews>
  <sheetFormatPr defaultColWidth="12" defaultRowHeight="16.5" x14ac:dyDescent="0.3"/>
  <cols>
    <col min="1" max="1" width="4.125" style="1" customWidth="1"/>
    <col min="2" max="2" width="18.875" style="1" bestFit="1" customWidth="1"/>
    <col min="3" max="3" width="12.75" style="1" customWidth="1"/>
    <col min="4" max="5" width="12" style="1"/>
    <col min="6" max="6" width="15.125" style="1" bestFit="1" customWidth="1"/>
    <col min="7" max="7" width="11.125" style="1" customWidth="1"/>
    <col min="8" max="8" width="13" style="1" bestFit="1" customWidth="1"/>
    <col min="9" max="9" width="8.625" style="1" customWidth="1"/>
    <col min="10" max="10" width="12.75" style="1" customWidth="1"/>
    <col min="11" max="16384" width="12" style="1"/>
  </cols>
  <sheetData>
    <row r="2" spans="2:10" x14ac:dyDescent="0.3">
      <c r="B2" s="1" t="s">
        <v>0</v>
      </c>
    </row>
    <row r="3" spans="2:10" x14ac:dyDescent="0.3">
      <c r="B3" s="9" t="s">
        <v>1</v>
      </c>
      <c r="C3" s="9" t="s">
        <v>2</v>
      </c>
      <c r="D3" s="9" t="s">
        <v>89</v>
      </c>
      <c r="E3" s="9" t="s">
        <v>90</v>
      </c>
      <c r="F3" s="9" t="s">
        <v>6</v>
      </c>
      <c r="G3" s="9" t="s">
        <v>7</v>
      </c>
      <c r="H3" s="9" t="s">
        <v>8</v>
      </c>
      <c r="I3" s="10" t="s">
        <v>91</v>
      </c>
      <c r="J3" s="11" t="s">
        <v>92</v>
      </c>
    </row>
    <row r="4" spans="2:10" x14ac:dyDescent="0.3">
      <c r="B4" s="12" t="s">
        <v>54</v>
      </c>
      <c r="C4" s="12" t="s">
        <v>55</v>
      </c>
      <c r="D4" s="12" t="s">
        <v>93</v>
      </c>
      <c r="E4" s="12" t="s">
        <v>94</v>
      </c>
      <c r="F4" s="13">
        <v>61</v>
      </c>
      <c r="G4" s="13">
        <v>98</v>
      </c>
      <c r="H4" s="13">
        <v>68</v>
      </c>
      <c r="I4" s="14" t="str">
        <f>HLOOKUP(SUMPRODUCT(F4:H4,{0.3,0.2,0.5}),$C$38:$G$39,2)</f>
        <v>C</v>
      </c>
      <c r="J4" s="14" t="str">
        <f>fn비고(F4,G4,H4)</f>
        <v/>
      </c>
    </row>
    <row r="5" spans="2:10" x14ac:dyDescent="0.3">
      <c r="B5" s="12" t="s">
        <v>56</v>
      </c>
      <c r="C5" s="12" t="s">
        <v>57</v>
      </c>
      <c r="D5" s="12" t="s">
        <v>95</v>
      </c>
      <c r="E5" s="12" t="s">
        <v>96</v>
      </c>
      <c r="F5" s="13">
        <v>86</v>
      </c>
      <c r="G5" s="13">
        <v>66</v>
      </c>
      <c r="H5" s="13">
        <v>87</v>
      </c>
      <c r="I5" s="14" t="str">
        <f>HLOOKUP(SUMPRODUCT(F5:H5,{0.3,0.2,0.5}),$C$38:$G$39,2)</f>
        <v>B</v>
      </c>
      <c r="J5" s="14" t="str">
        <f t="shared" ref="J5:J28" si="0">fn비고(F5,G5,H5)</f>
        <v/>
      </c>
    </row>
    <row r="6" spans="2:10" x14ac:dyDescent="0.3">
      <c r="B6" s="12" t="s">
        <v>58</v>
      </c>
      <c r="C6" s="12" t="s">
        <v>59</v>
      </c>
      <c r="D6" s="12" t="s">
        <v>97</v>
      </c>
      <c r="E6" s="12" t="s">
        <v>98</v>
      </c>
      <c r="F6" s="13">
        <v>84</v>
      </c>
      <c r="G6" s="13">
        <v>70</v>
      </c>
      <c r="H6" s="13">
        <v>59</v>
      </c>
      <c r="I6" s="14" t="str">
        <f>HLOOKUP(SUMPRODUCT(F6:H6,{0.3,0.2,0.5}),$C$38:$G$39,2)</f>
        <v>D</v>
      </c>
      <c r="J6" s="14" t="str">
        <f t="shared" si="0"/>
        <v/>
      </c>
    </row>
    <row r="7" spans="2:10" x14ac:dyDescent="0.3">
      <c r="B7" s="12" t="s">
        <v>29</v>
      </c>
      <c r="C7" s="12" t="s">
        <v>30</v>
      </c>
      <c r="D7" s="12" t="s">
        <v>97</v>
      </c>
      <c r="E7" s="12" t="s">
        <v>99</v>
      </c>
      <c r="F7" s="13">
        <v>64</v>
      </c>
      <c r="G7" s="13">
        <v>59</v>
      </c>
      <c r="H7" s="13">
        <v>53</v>
      </c>
      <c r="I7" s="14" t="str">
        <f>HLOOKUP(SUMPRODUCT(F7:H7,{0.3,0.2,0.5}),$C$38:$G$39,2)</f>
        <v>F</v>
      </c>
      <c r="J7" s="14" t="str">
        <f t="shared" si="0"/>
        <v/>
      </c>
    </row>
    <row r="8" spans="2:10" x14ac:dyDescent="0.3">
      <c r="B8" s="12" t="s">
        <v>60</v>
      </c>
      <c r="C8" s="12" t="s">
        <v>61</v>
      </c>
      <c r="D8" s="12" t="s">
        <v>100</v>
      </c>
      <c r="E8" s="12" t="s">
        <v>101</v>
      </c>
      <c r="F8" s="13">
        <v>92</v>
      </c>
      <c r="G8" s="13">
        <v>87</v>
      </c>
      <c r="H8" s="13">
        <v>90</v>
      </c>
      <c r="I8" s="14" t="str">
        <f>HLOOKUP(SUMPRODUCT(F8:H8,{0.3,0.2,0.5}),$C$38:$G$39,2)</f>
        <v>A</v>
      </c>
      <c r="J8" s="14" t="str">
        <f t="shared" si="0"/>
        <v>90우수학생</v>
      </c>
    </row>
    <row r="9" spans="2:10" x14ac:dyDescent="0.3">
      <c r="B9" s="12" t="s">
        <v>76</v>
      </c>
      <c r="C9" s="12" t="s">
        <v>77</v>
      </c>
      <c r="D9" s="12" t="s">
        <v>95</v>
      </c>
      <c r="E9" s="12" t="s">
        <v>102</v>
      </c>
      <c r="F9" s="13">
        <v>89</v>
      </c>
      <c r="G9" s="13">
        <v>90</v>
      </c>
      <c r="H9" s="13">
        <v>92</v>
      </c>
      <c r="I9" s="14" t="str">
        <f>HLOOKUP(SUMPRODUCT(F9:H9,{0.3,0.2,0.5}),$C$38:$G$39,2)</f>
        <v>A</v>
      </c>
      <c r="J9" s="14" t="str">
        <f t="shared" si="0"/>
        <v>90.7우수학생</v>
      </c>
    </row>
    <row r="10" spans="2:10" x14ac:dyDescent="0.3">
      <c r="B10" s="12" t="s">
        <v>78</v>
      </c>
      <c r="C10" s="12" t="s">
        <v>79</v>
      </c>
      <c r="D10" s="12" t="s">
        <v>93</v>
      </c>
      <c r="E10" s="12" t="s">
        <v>103</v>
      </c>
      <c r="F10" s="13">
        <v>92</v>
      </c>
      <c r="G10" s="13">
        <v>64</v>
      </c>
      <c r="H10" s="13">
        <v>76</v>
      </c>
      <c r="I10" s="14" t="str">
        <f>HLOOKUP(SUMPRODUCT(F10:H10,{0.3,0.2,0.5}),$C$38:$G$39,2)</f>
        <v>C</v>
      </c>
      <c r="J10" s="14" t="str">
        <f t="shared" si="0"/>
        <v/>
      </c>
    </row>
    <row r="11" spans="2:10" x14ac:dyDescent="0.3">
      <c r="B11" s="12" t="s">
        <v>20</v>
      </c>
      <c r="C11" s="12" t="s">
        <v>21</v>
      </c>
      <c r="D11" s="12" t="s">
        <v>97</v>
      </c>
      <c r="E11" s="12" t="s">
        <v>104</v>
      </c>
      <c r="F11" s="13">
        <v>79</v>
      </c>
      <c r="G11" s="13">
        <v>94</v>
      </c>
      <c r="H11" s="13">
        <v>69</v>
      </c>
      <c r="I11" s="14" t="str">
        <f>HLOOKUP(SUMPRODUCT(F11:H11,{0.3,0.2,0.5}),$C$38:$G$39,2)</f>
        <v>C</v>
      </c>
      <c r="J11" s="14" t="str">
        <f t="shared" si="0"/>
        <v/>
      </c>
    </row>
    <row r="12" spans="2:10" x14ac:dyDescent="0.3">
      <c r="B12" s="12" t="s">
        <v>46</v>
      </c>
      <c r="C12" s="12" t="s">
        <v>47</v>
      </c>
      <c r="D12" s="12" t="s">
        <v>105</v>
      </c>
      <c r="E12" s="12" t="s">
        <v>106</v>
      </c>
      <c r="F12" s="13">
        <v>65</v>
      </c>
      <c r="G12" s="13">
        <v>73</v>
      </c>
      <c r="H12" s="13">
        <v>82</v>
      </c>
      <c r="I12" s="14" t="str">
        <f>HLOOKUP(SUMPRODUCT(F12:H12,{0.3,0.2,0.5}),$C$38:$G$39,2)</f>
        <v>C</v>
      </c>
      <c r="J12" s="14" t="str">
        <f t="shared" si="0"/>
        <v/>
      </c>
    </row>
    <row r="13" spans="2:10" x14ac:dyDescent="0.3">
      <c r="B13" s="12" t="s">
        <v>48</v>
      </c>
      <c r="C13" s="12" t="s">
        <v>49</v>
      </c>
      <c r="D13" s="12" t="s">
        <v>93</v>
      </c>
      <c r="E13" s="12" t="s">
        <v>107</v>
      </c>
      <c r="F13" s="13">
        <v>74</v>
      </c>
      <c r="G13" s="13">
        <v>92</v>
      </c>
      <c r="H13" s="13">
        <v>73</v>
      </c>
      <c r="I13" s="14" t="str">
        <f>HLOOKUP(SUMPRODUCT(F13:H13,{0.3,0.2,0.5}),$C$38:$G$39,2)</f>
        <v>C</v>
      </c>
      <c r="J13" s="14" t="str">
        <f t="shared" si="0"/>
        <v/>
      </c>
    </row>
    <row r="14" spans="2:10" x14ac:dyDescent="0.3">
      <c r="B14" s="12" t="s">
        <v>63</v>
      </c>
      <c r="C14" s="12" t="s">
        <v>64</v>
      </c>
      <c r="D14" s="12" t="s">
        <v>97</v>
      </c>
      <c r="E14" s="12" t="s">
        <v>108</v>
      </c>
      <c r="F14" s="13">
        <v>87</v>
      </c>
      <c r="G14" s="13">
        <v>84</v>
      </c>
      <c r="H14" s="13">
        <v>63</v>
      </c>
      <c r="I14" s="14" t="str">
        <f>HLOOKUP(SUMPRODUCT(F14:H14,{0.3,0.2,0.5}),$C$38:$G$39,2)</f>
        <v>C</v>
      </c>
      <c r="J14" s="14" t="str">
        <f t="shared" si="0"/>
        <v/>
      </c>
    </row>
    <row r="15" spans="2:10" x14ac:dyDescent="0.3">
      <c r="B15" s="12" t="s">
        <v>67</v>
      </c>
      <c r="C15" s="12" t="s">
        <v>68</v>
      </c>
      <c r="D15" s="12" t="s">
        <v>105</v>
      </c>
      <c r="E15" s="12" t="s">
        <v>109</v>
      </c>
      <c r="F15" s="13">
        <v>50</v>
      </c>
      <c r="G15" s="13">
        <v>84</v>
      </c>
      <c r="H15" s="13">
        <v>79</v>
      </c>
      <c r="I15" s="14" t="str">
        <f>HLOOKUP(SUMPRODUCT(F15:H15,{0.3,0.2,0.5}),$C$38:$G$39,2)</f>
        <v>C</v>
      </c>
      <c r="J15" s="14" t="str">
        <f t="shared" si="0"/>
        <v/>
      </c>
    </row>
    <row r="16" spans="2:10" x14ac:dyDescent="0.3">
      <c r="B16" s="12" t="s">
        <v>25</v>
      </c>
      <c r="C16" s="12" t="s">
        <v>26</v>
      </c>
      <c r="D16" s="12" t="s">
        <v>93</v>
      </c>
      <c r="E16" s="12" t="s">
        <v>110</v>
      </c>
      <c r="F16" s="13">
        <v>76</v>
      </c>
      <c r="G16" s="13">
        <v>80</v>
      </c>
      <c r="H16" s="13">
        <v>89</v>
      </c>
      <c r="I16" s="14" t="str">
        <f>HLOOKUP(SUMPRODUCT(F16:H16,{0.3,0.2,0.5}),$C$38:$G$39,2)</f>
        <v>B</v>
      </c>
      <c r="J16" s="14" t="str">
        <f t="shared" si="0"/>
        <v/>
      </c>
    </row>
    <row r="17" spans="2:10" x14ac:dyDescent="0.3">
      <c r="B17" s="12" t="s">
        <v>82</v>
      </c>
      <c r="C17" s="12" t="s">
        <v>83</v>
      </c>
      <c r="D17" s="12" t="s">
        <v>93</v>
      </c>
      <c r="E17" s="12" t="s">
        <v>111</v>
      </c>
      <c r="F17" s="13">
        <v>52</v>
      </c>
      <c r="G17" s="13">
        <v>56</v>
      </c>
      <c r="H17" s="13">
        <v>92</v>
      </c>
      <c r="I17" s="14" t="str">
        <f>HLOOKUP(SUMPRODUCT(F17:H17,{0.3,0.2,0.5}),$C$38:$G$39,2)</f>
        <v>C</v>
      </c>
      <c r="J17" s="14" t="str">
        <f t="shared" si="0"/>
        <v/>
      </c>
    </row>
    <row r="18" spans="2:10" x14ac:dyDescent="0.3">
      <c r="B18" s="12" t="s">
        <v>70</v>
      </c>
      <c r="C18" s="12" t="s">
        <v>71</v>
      </c>
      <c r="D18" s="12" t="s">
        <v>112</v>
      </c>
      <c r="E18" s="12" t="s">
        <v>113</v>
      </c>
      <c r="F18" s="13">
        <v>56</v>
      </c>
      <c r="G18" s="13">
        <v>99</v>
      </c>
      <c r="H18" s="13">
        <v>75</v>
      </c>
      <c r="I18" s="14" t="str">
        <f>HLOOKUP(SUMPRODUCT(F18:H18,{0.3,0.2,0.5}),$C$38:$G$39,2)</f>
        <v>C</v>
      </c>
      <c r="J18" s="14" t="str">
        <f t="shared" si="0"/>
        <v/>
      </c>
    </row>
    <row r="19" spans="2:10" x14ac:dyDescent="0.3">
      <c r="B19" s="12" t="s">
        <v>72</v>
      </c>
      <c r="C19" s="12" t="s">
        <v>73</v>
      </c>
      <c r="D19" s="12" t="s">
        <v>100</v>
      </c>
      <c r="E19" s="12" t="s">
        <v>114</v>
      </c>
      <c r="F19" s="13">
        <v>97</v>
      </c>
      <c r="G19" s="13">
        <v>98</v>
      </c>
      <c r="H19" s="13">
        <v>85</v>
      </c>
      <c r="I19" s="14" t="str">
        <f>HLOOKUP(SUMPRODUCT(F19:H19,{0.3,0.2,0.5}),$C$38:$G$39,2)</f>
        <v>A</v>
      </c>
      <c r="J19" s="14" t="str">
        <f t="shared" si="0"/>
        <v>91.2우수학생</v>
      </c>
    </row>
    <row r="20" spans="2:10" x14ac:dyDescent="0.3">
      <c r="B20" s="12" t="s">
        <v>27</v>
      </c>
      <c r="C20" s="12" t="s">
        <v>28</v>
      </c>
      <c r="D20" s="12" t="s">
        <v>93</v>
      </c>
      <c r="E20" s="12" t="s">
        <v>115</v>
      </c>
      <c r="F20" s="13">
        <v>68</v>
      </c>
      <c r="G20" s="13">
        <v>50</v>
      </c>
      <c r="H20" s="13">
        <v>89</v>
      </c>
      <c r="I20" s="14" t="str">
        <f>HLOOKUP(SUMPRODUCT(F20:H20,{0.3,0.2,0.5}),$C$38:$G$39,2)</f>
        <v>C</v>
      </c>
      <c r="J20" s="14" t="str">
        <f t="shared" si="0"/>
        <v/>
      </c>
    </row>
    <row r="21" spans="2:10" x14ac:dyDescent="0.3">
      <c r="B21" s="12" t="s">
        <v>15</v>
      </c>
      <c r="C21" s="12" t="s">
        <v>16</v>
      </c>
      <c r="D21" s="12" t="s">
        <v>95</v>
      </c>
      <c r="E21" s="12" t="s">
        <v>116</v>
      </c>
      <c r="F21" s="13">
        <v>77</v>
      </c>
      <c r="G21" s="13">
        <v>89</v>
      </c>
      <c r="H21" s="13">
        <v>92</v>
      </c>
      <c r="I21" s="14" t="str">
        <f>HLOOKUP(SUMPRODUCT(F21:H21,{0.3,0.2,0.5}),$C$38:$G$39,2)</f>
        <v>B</v>
      </c>
      <c r="J21" s="14" t="str">
        <f t="shared" si="0"/>
        <v/>
      </c>
    </row>
    <row r="22" spans="2:10" x14ac:dyDescent="0.3">
      <c r="B22" s="12" t="s">
        <v>74</v>
      </c>
      <c r="C22" s="12" t="s">
        <v>75</v>
      </c>
      <c r="D22" s="12" t="s">
        <v>112</v>
      </c>
      <c r="E22" s="12" t="s">
        <v>117</v>
      </c>
      <c r="F22" s="13">
        <v>55</v>
      </c>
      <c r="G22" s="13">
        <v>68</v>
      </c>
      <c r="H22" s="13">
        <v>66</v>
      </c>
      <c r="I22" s="14" t="str">
        <f>HLOOKUP(SUMPRODUCT(F22:H22,{0.3,0.2,0.5}),$C$38:$G$39,2)</f>
        <v>D</v>
      </c>
      <c r="J22" s="14" t="str">
        <f t="shared" si="0"/>
        <v/>
      </c>
    </row>
    <row r="23" spans="2:10" x14ac:dyDescent="0.3">
      <c r="B23" s="12" t="s">
        <v>50</v>
      </c>
      <c r="C23" s="12" t="s">
        <v>51</v>
      </c>
      <c r="D23" s="12" t="s">
        <v>105</v>
      </c>
      <c r="E23" s="12" t="s">
        <v>118</v>
      </c>
      <c r="F23" s="13">
        <v>52</v>
      </c>
      <c r="G23" s="13">
        <v>78</v>
      </c>
      <c r="H23" s="13">
        <v>60</v>
      </c>
      <c r="I23" s="14" t="str">
        <f>HLOOKUP(SUMPRODUCT(F23:H23,{0.3,0.2,0.5}),$C$38:$G$39,2)</f>
        <v>D</v>
      </c>
      <c r="J23" s="14" t="str">
        <f t="shared" si="0"/>
        <v/>
      </c>
    </row>
    <row r="24" spans="2:10" x14ac:dyDescent="0.3">
      <c r="B24" s="12" t="s">
        <v>52</v>
      </c>
      <c r="C24" s="12" t="s">
        <v>53</v>
      </c>
      <c r="D24" s="12" t="s">
        <v>95</v>
      </c>
      <c r="E24" s="12" t="s">
        <v>119</v>
      </c>
      <c r="F24" s="13">
        <v>76</v>
      </c>
      <c r="G24" s="13">
        <v>65</v>
      </c>
      <c r="H24" s="13">
        <v>88</v>
      </c>
      <c r="I24" s="14" t="str">
        <f>HLOOKUP(SUMPRODUCT(F24:H24,{0.3,0.2,0.5}),$C$38:$G$39,2)</f>
        <v>C</v>
      </c>
      <c r="J24" s="14" t="str">
        <f t="shared" si="0"/>
        <v/>
      </c>
    </row>
    <row r="25" spans="2:10" x14ac:dyDescent="0.3">
      <c r="B25" s="12" t="s">
        <v>32</v>
      </c>
      <c r="C25" s="12" t="s">
        <v>33</v>
      </c>
      <c r="D25" s="12" t="s">
        <v>105</v>
      </c>
      <c r="E25" s="12" t="s">
        <v>120</v>
      </c>
      <c r="F25" s="13">
        <v>85</v>
      </c>
      <c r="G25" s="13">
        <v>97</v>
      </c>
      <c r="H25" s="13">
        <v>89</v>
      </c>
      <c r="I25" s="14" t="str">
        <f>HLOOKUP(SUMPRODUCT(F25:H25,{0.3,0.2,0.5}),$C$38:$G$39,2)</f>
        <v>B</v>
      </c>
      <c r="J25" s="14" t="str">
        <f t="shared" si="0"/>
        <v>89.4우수학생</v>
      </c>
    </row>
    <row r="26" spans="2:10" x14ac:dyDescent="0.3">
      <c r="B26" s="12" t="s">
        <v>80</v>
      </c>
      <c r="C26" s="12" t="s">
        <v>81</v>
      </c>
      <c r="D26" s="12" t="s">
        <v>112</v>
      </c>
      <c r="E26" s="12" t="s">
        <v>121</v>
      </c>
      <c r="F26" s="13">
        <v>71</v>
      </c>
      <c r="G26" s="13">
        <v>97</v>
      </c>
      <c r="H26" s="13">
        <v>68</v>
      </c>
      <c r="I26" s="14" t="str">
        <f>HLOOKUP(SUMPRODUCT(F26:H26,{0.3,0.2,0.5}),$C$38:$G$39,2)</f>
        <v>C</v>
      </c>
      <c r="J26" s="14" t="str">
        <f t="shared" si="0"/>
        <v/>
      </c>
    </row>
    <row r="27" spans="2:10" x14ac:dyDescent="0.3">
      <c r="B27" s="12" t="s">
        <v>84</v>
      </c>
      <c r="C27" s="12" t="s">
        <v>85</v>
      </c>
      <c r="D27" s="12" t="s">
        <v>97</v>
      </c>
      <c r="E27" s="12" t="s">
        <v>122</v>
      </c>
      <c r="F27" s="13">
        <v>87</v>
      </c>
      <c r="G27" s="13">
        <v>94</v>
      </c>
      <c r="H27" s="13">
        <v>92</v>
      </c>
      <c r="I27" s="14" t="str">
        <f>HLOOKUP(SUMPRODUCT(F27:H27,{0.3,0.2,0.5}),$C$38:$G$39,2)</f>
        <v>A</v>
      </c>
      <c r="J27" s="14" t="str">
        <f t="shared" si="0"/>
        <v>90.9우수학생</v>
      </c>
    </row>
    <row r="28" spans="2:10" x14ac:dyDescent="0.3">
      <c r="B28" s="12" t="s">
        <v>86</v>
      </c>
      <c r="C28" s="12" t="s">
        <v>87</v>
      </c>
      <c r="D28" s="12" t="s">
        <v>105</v>
      </c>
      <c r="E28" s="12" t="s">
        <v>123</v>
      </c>
      <c r="F28" s="13">
        <v>93</v>
      </c>
      <c r="G28" s="13">
        <v>59</v>
      </c>
      <c r="H28" s="13">
        <v>85</v>
      </c>
      <c r="I28" s="14" t="str">
        <f>HLOOKUP(SUMPRODUCT(F28:H28,{0.3,0.2,0.5}),$C$38:$G$39,2)</f>
        <v>B</v>
      </c>
      <c r="J28" s="14" t="str">
        <f t="shared" si="0"/>
        <v/>
      </c>
    </row>
    <row r="29" spans="2:10" x14ac:dyDescent="0.3">
      <c r="B29" s="2"/>
      <c r="C29" s="15"/>
      <c r="D29" s="15"/>
      <c r="E29" s="15"/>
      <c r="F29" s="16"/>
      <c r="G29" s="16"/>
      <c r="H29" s="16"/>
      <c r="I29" s="15"/>
      <c r="J29" s="15"/>
    </row>
    <row r="30" spans="2:10" x14ac:dyDescent="0.3">
      <c r="B30" s="17" t="s">
        <v>124</v>
      </c>
    </row>
    <row r="31" spans="2:10" x14ac:dyDescent="0.3">
      <c r="B31" s="55" t="s">
        <v>125</v>
      </c>
      <c r="C31" s="18" t="s">
        <v>89</v>
      </c>
      <c r="D31" s="18" t="s">
        <v>89</v>
      </c>
      <c r="E31" s="18" t="s">
        <v>89</v>
      </c>
      <c r="F31" s="18" t="s">
        <v>89</v>
      </c>
      <c r="G31" s="18" t="s">
        <v>89</v>
      </c>
      <c r="H31" s="18" t="s">
        <v>89</v>
      </c>
    </row>
    <row r="32" spans="2:10" x14ac:dyDescent="0.3">
      <c r="B32" s="56"/>
      <c r="C32" s="18" t="s">
        <v>105</v>
      </c>
      <c r="D32" s="18" t="s">
        <v>100</v>
      </c>
      <c r="E32" s="18" t="s">
        <v>95</v>
      </c>
      <c r="F32" s="18" t="s">
        <v>93</v>
      </c>
      <c r="G32" s="18" t="s">
        <v>112</v>
      </c>
      <c r="H32" s="18" t="s">
        <v>97</v>
      </c>
    </row>
    <row r="33" spans="2:8" x14ac:dyDescent="0.3">
      <c r="B33" s="19" t="s">
        <v>126</v>
      </c>
      <c r="C33" s="18" t="str">
        <f>REPT("☆",DCOUNTA($B$3:$J$28,3,C31:C32))</f>
        <v>☆☆☆☆☆</v>
      </c>
      <c r="D33" s="18" t="str">
        <f t="shared" ref="D33:H33" si="1">REPT("☆",DCOUNTA($B$3:$J$28,3,D31:D32))</f>
        <v>☆☆</v>
      </c>
      <c r="E33" s="18" t="str">
        <f t="shared" si="1"/>
        <v>☆☆☆☆</v>
      </c>
      <c r="F33" s="18" t="str">
        <f t="shared" si="1"/>
        <v>☆☆☆☆☆☆</v>
      </c>
      <c r="G33" s="18" t="str">
        <f t="shared" si="1"/>
        <v>☆☆☆</v>
      </c>
      <c r="H33" s="18" t="str">
        <f t="shared" si="1"/>
        <v>☆☆☆☆☆</v>
      </c>
    </row>
    <row r="34" spans="2:8" x14ac:dyDescent="0.3">
      <c r="B34" s="19" t="s">
        <v>127</v>
      </c>
      <c r="C34" s="18" t="str">
        <f t="array" ref="C34">IFERROR(AVERAGE(IF(($D$4:$D$28=C32)*($H$4:$H$28&gt;=90),$H$4:$H$28)),"없음")</f>
        <v>없음</v>
      </c>
      <c r="D34" s="18">
        <f t="array" ref="D34">IFERROR(AVERAGE(IF(($D$4:$D$28=D32)*($H$4:$H$28&gt;=90),$H$4:$H$28)),"없음")</f>
        <v>90</v>
      </c>
      <c r="E34" s="18">
        <f t="array" ref="E34">IFERROR(AVERAGE(IF(($D$4:$D$28=E32)*($H$4:$H$28&gt;=90),$H$4:$H$28)),"없음")</f>
        <v>92</v>
      </c>
      <c r="F34" s="18">
        <f t="array" ref="F34">IFERROR(AVERAGE(IF(($D$4:$D$28=F32)*($H$4:$H$28&gt;=90),$H$4:$H$28)),"없음")</f>
        <v>92</v>
      </c>
      <c r="G34" s="18" t="str">
        <f t="array" ref="G34">IFERROR(AVERAGE(IF(($D$4:$D$28=G32)*($H$4:$H$28&gt;=90),$H$4:$H$28)),"없음")</f>
        <v>없음</v>
      </c>
      <c r="H34" s="18">
        <f t="array" ref="H34">IFERROR(AVERAGE(IF(($D$4:$D$28=H32)*($H$4:$H$28&gt;=90),$H$4:$H$28)),"없음")</f>
        <v>92</v>
      </c>
    </row>
    <row r="35" spans="2:8" x14ac:dyDescent="0.3">
      <c r="B35" s="19" t="s">
        <v>128</v>
      </c>
      <c r="C35" s="18">
        <f t="array" ref="C35">MAX(IF(($D$4:$D$28=C32)*((LEFT($B$4:$B$28,2)="13")+(LEFT($B$4:$B$28,2)="11")),$F$4:$F$28))</f>
        <v>93</v>
      </c>
      <c r="D35" s="18">
        <f t="array" ref="D35">MAX(IF(($D$4:$D$28=D32)*((LEFT($B$4:$B$28,2)="13")+(LEFT($B$4:$B$28,2)="11")),$F$4:$F$28))</f>
        <v>97</v>
      </c>
      <c r="E35" s="18">
        <f t="array" ref="E35">MAX(IF(($D$4:$D$28=E32)*((LEFT($B$4:$B$28,2)="13")+(LEFT($B$4:$B$28,2)="11")),$F$4:$F$28))</f>
        <v>89</v>
      </c>
      <c r="F35" s="18">
        <f t="array" ref="F35">MAX(IF(($D$4:$D$28=F32)*((LEFT($B$4:$B$28,2)="13")+(LEFT($B$4:$B$28,2)="11")),$F$4:$F$28))</f>
        <v>92</v>
      </c>
      <c r="G35" s="18">
        <f t="array" ref="G35">MAX(IF(($D$4:$D$28=G32)*((LEFT($B$4:$B$28,2)="13")+(LEFT($B$4:$B$28,2)="11")),$F$4:$F$28))</f>
        <v>71</v>
      </c>
      <c r="H35" s="18">
        <f t="array" ref="H35">MAX(IF(($D$4:$D$28=H32)*((LEFT($B$4:$B$28,2)="13")+(LEFT($B$4:$B$28,2)="11")),$F$4:$F$28))</f>
        <v>87</v>
      </c>
    </row>
    <row r="37" spans="2:8" x14ac:dyDescent="0.3">
      <c r="B37" s="17" t="s">
        <v>129</v>
      </c>
    </row>
    <row r="38" spans="2:8" x14ac:dyDescent="0.3">
      <c r="B38" s="20" t="s">
        <v>130</v>
      </c>
      <c r="C38" s="18">
        <v>0</v>
      </c>
      <c r="D38" s="18">
        <v>60</v>
      </c>
      <c r="E38" s="20">
        <v>70</v>
      </c>
      <c r="F38" s="20">
        <v>80</v>
      </c>
      <c r="G38" s="20">
        <v>90</v>
      </c>
    </row>
    <row r="39" spans="2:8" x14ac:dyDescent="0.3">
      <c r="B39" s="20" t="s">
        <v>91</v>
      </c>
      <c r="C39" s="20" t="s">
        <v>131</v>
      </c>
      <c r="D39" s="20" t="s">
        <v>132</v>
      </c>
      <c r="E39" s="20" t="s">
        <v>133</v>
      </c>
      <c r="F39" s="20" t="s">
        <v>69</v>
      </c>
      <c r="G39" s="20" t="s">
        <v>134</v>
      </c>
    </row>
    <row r="44" spans="2:8" x14ac:dyDescent="0.3">
      <c r="F44"/>
    </row>
    <row r="45" spans="2:8" x14ac:dyDescent="0.3">
      <c r="F45"/>
    </row>
    <row r="46" spans="2:8" x14ac:dyDescent="0.3">
      <c r="F46"/>
    </row>
    <row r="47" spans="2:8" x14ac:dyDescent="0.3">
      <c r="F47"/>
    </row>
    <row r="48" spans="2:8" x14ac:dyDescent="0.3">
      <c r="F48"/>
    </row>
    <row r="49" spans="6:6" x14ac:dyDescent="0.3">
      <c r="F49"/>
    </row>
    <row r="50" spans="6:6" x14ac:dyDescent="0.3">
      <c r="F50"/>
    </row>
    <row r="51" spans="6:6" x14ac:dyDescent="0.3">
      <c r="F51"/>
    </row>
    <row r="52" spans="6:6" x14ac:dyDescent="0.3">
      <c r="F52"/>
    </row>
    <row r="53" spans="6:6" x14ac:dyDescent="0.3">
      <c r="F53"/>
    </row>
    <row r="54" spans="6:6" x14ac:dyDescent="0.3">
      <c r="F54"/>
    </row>
    <row r="55" spans="6:6" x14ac:dyDescent="0.3">
      <c r="F55"/>
    </row>
    <row r="56" spans="6:6" x14ac:dyDescent="0.3">
      <c r="F56"/>
    </row>
    <row r="57" spans="6:6" x14ac:dyDescent="0.3">
      <c r="F57"/>
    </row>
    <row r="58" spans="6:6" x14ac:dyDescent="0.3">
      <c r="F58"/>
    </row>
    <row r="59" spans="6:6" x14ac:dyDescent="0.3">
      <c r="F59"/>
    </row>
    <row r="60" spans="6:6" x14ac:dyDescent="0.3">
      <c r="F60"/>
    </row>
    <row r="61" spans="6:6" x14ac:dyDescent="0.3">
      <c r="F61"/>
    </row>
    <row r="62" spans="6:6" x14ac:dyDescent="0.3">
      <c r="F62"/>
    </row>
    <row r="63" spans="6:6" x14ac:dyDescent="0.3">
      <c r="F63"/>
    </row>
    <row r="64" spans="6:6" x14ac:dyDescent="0.3">
      <c r="F64"/>
    </row>
    <row r="65" spans="6:6" x14ac:dyDescent="0.3">
      <c r="F65"/>
    </row>
  </sheetData>
  <mergeCells count="1">
    <mergeCell ref="B31:B3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L33"/>
  <sheetViews>
    <sheetView workbookViewId="0"/>
  </sheetViews>
  <sheetFormatPr defaultRowHeight="16.5" x14ac:dyDescent="0.3"/>
  <cols>
    <col min="2" max="2" width="21.375" customWidth="1"/>
    <col min="3" max="3" width="18" customWidth="1"/>
    <col min="8" max="8" width="15.625" bestFit="1" customWidth="1"/>
    <col min="9" max="9" width="11" customWidth="1"/>
    <col min="10" max="10" width="12.375" customWidth="1"/>
    <col min="11" max="11" width="12.75" customWidth="1"/>
    <col min="12" max="12" width="11.75" customWidth="1"/>
  </cols>
  <sheetData>
    <row r="3" spans="1:12" x14ac:dyDescent="0.3">
      <c r="A3" s="29" t="s">
        <v>2</v>
      </c>
      <c r="B3" s="30" t="s">
        <v>3</v>
      </c>
      <c r="C3" s="30" t="s">
        <v>4</v>
      </c>
      <c r="D3" s="30" t="s">
        <v>6</v>
      </c>
      <c r="E3" s="30" t="s">
        <v>7</v>
      </c>
      <c r="F3" s="31" t="s">
        <v>8</v>
      </c>
      <c r="H3" s="54" t="s">
        <v>4</v>
      </c>
      <c r="I3" s="54" t="s">
        <v>3</v>
      </c>
      <c r="J3" t="s">
        <v>143</v>
      </c>
      <c r="K3" t="s">
        <v>144</v>
      </c>
      <c r="L3" t="s">
        <v>145</v>
      </c>
    </row>
    <row r="4" spans="1:12" x14ac:dyDescent="0.3">
      <c r="A4" s="32" t="s">
        <v>11</v>
      </c>
      <c r="B4" s="33">
        <v>34149</v>
      </c>
      <c r="C4" s="34" t="s">
        <v>12</v>
      </c>
      <c r="D4" s="34">
        <v>68</v>
      </c>
      <c r="E4" s="34">
        <v>100</v>
      </c>
      <c r="F4" s="35">
        <v>51</v>
      </c>
      <c r="H4" t="s">
        <v>17</v>
      </c>
      <c r="J4" s="52">
        <v>82</v>
      </c>
      <c r="K4" s="52">
        <v>77.5</v>
      </c>
      <c r="L4" s="52">
        <v>89.75</v>
      </c>
    </row>
    <row r="5" spans="1:12" x14ac:dyDescent="0.3">
      <c r="A5" s="32" t="s">
        <v>61</v>
      </c>
      <c r="B5" s="33">
        <v>33716</v>
      </c>
      <c r="C5" s="34" t="s">
        <v>42</v>
      </c>
      <c r="D5" s="34">
        <v>92</v>
      </c>
      <c r="E5" s="34">
        <v>87</v>
      </c>
      <c r="F5" s="35">
        <v>90</v>
      </c>
      <c r="I5" s="53" t="s">
        <v>146</v>
      </c>
      <c r="J5" s="52">
        <v>77</v>
      </c>
      <c r="K5" s="52">
        <v>89</v>
      </c>
      <c r="L5" s="52">
        <v>92</v>
      </c>
    </row>
    <row r="6" spans="1:12" x14ac:dyDescent="0.3">
      <c r="A6" s="32" t="s">
        <v>64</v>
      </c>
      <c r="B6" s="33">
        <v>33301</v>
      </c>
      <c r="C6" s="34" t="s">
        <v>22</v>
      </c>
      <c r="D6" s="34">
        <v>87</v>
      </c>
      <c r="E6" s="34">
        <v>84</v>
      </c>
      <c r="F6" s="35">
        <v>63</v>
      </c>
      <c r="I6" s="53" t="s">
        <v>147</v>
      </c>
      <c r="J6" s="52">
        <v>76</v>
      </c>
      <c r="K6" s="52">
        <v>65</v>
      </c>
      <c r="L6" s="52">
        <v>88</v>
      </c>
    </row>
    <row r="7" spans="1:12" x14ac:dyDescent="0.3">
      <c r="A7" s="32" t="s">
        <v>66</v>
      </c>
      <c r="B7" s="33">
        <v>33516</v>
      </c>
      <c r="C7" s="34" t="s">
        <v>34</v>
      </c>
      <c r="D7" s="34">
        <v>72</v>
      </c>
      <c r="E7" s="34">
        <v>96</v>
      </c>
      <c r="F7" s="35">
        <v>77</v>
      </c>
      <c r="I7" s="53" t="s">
        <v>148</v>
      </c>
      <c r="J7" s="52">
        <v>87.5</v>
      </c>
      <c r="K7" s="52">
        <v>78</v>
      </c>
      <c r="L7" s="52">
        <v>89.5</v>
      </c>
    </row>
    <row r="8" spans="1:12" x14ac:dyDescent="0.3">
      <c r="A8" s="32" t="s">
        <v>68</v>
      </c>
      <c r="B8" s="33">
        <v>33941</v>
      </c>
      <c r="C8" s="34" t="s">
        <v>34</v>
      </c>
      <c r="D8" s="34">
        <v>50</v>
      </c>
      <c r="E8" s="34">
        <v>84</v>
      </c>
      <c r="F8" s="35">
        <v>79</v>
      </c>
      <c r="H8" t="s">
        <v>38</v>
      </c>
      <c r="J8" s="52">
        <v>67</v>
      </c>
      <c r="K8" s="52">
        <v>83</v>
      </c>
      <c r="L8" s="52">
        <v>67</v>
      </c>
    </row>
    <row r="9" spans="1:12" x14ac:dyDescent="0.3">
      <c r="A9" s="32" t="s">
        <v>71</v>
      </c>
      <c r="B9" s="33">
        <v>34395</v>
      </c>
      <c r="C9" s="34" t="s">
        <v>38</v>
      </c>
      <c r="D9" s="34">
        <v>56</v>
      </c>
      <c r="E9" s="34">
        <v>99</v>
      </c>
      <c r="F9" s="35">
        <v>75</v>
      </c>
      <c r="I9" s="53" t="s">
        <v>149</v>
      </c>
      <c r="J9" s="52">
        <v>71</v>
      </c>
      <c r="K9" s="52">
        <v>97</v>
      </c>
      <c r="L9" s="52">
        <v>68</v>
      </c>
    </row>
    <row r="10" spans="1:12" x14ac:dyDescent="0.3">
      <c r="A10" s="32" t="s">
        <v>16</v>
      </c>
      <c r="B10" s="33">
        <v>33395</v>
      </c>
      <c r="C10" s="34" t="s">
        <v>17</v>
      </c>
      <c r="D10" s="34">
        <v>77</v>
      </c>
      <c r="E10" s="34">
        <v>89</v>
      </c>
      <c r="F10" s="35">
        <v>92</v>
      </c>
      <c r="I10" s="53" t="s">
        <v>147</v>
      </c>
      <c r="J10" s="52">
        <v>86</v>
      </c>
      <c r="K10" s="52">
        <v>68</v>
      </c>
      <c r="L10" s="52">
        <v>59</v>
      </c>
    </row>
    <row r="11" spans="1:12" x14ac:dyDescent="0.3">
      <c r="A11" s="32" t="s">
        <v>21</v>
      </c>
      <c r="B11" s="33">
        <v>33792</v>
      </c>
      <c r="C11" s="34" t="s">
        <v>22</v>
      </c>
      <c r="D11" s="34">
        <v>79</v>
      </c>
      <c r="E11" s="34">
        <v>94</v>
      </c>
      <c r="F11" s="35">
        <v>69</v>
      </c>
      <c r="I11" s="53" t="s">
        <v>148</v>
      </c>
      <c r="J11" s="52">
        <v>55.5</v>
      </c>
      <c r="K11" s="52">
        <v>83.5</v>
      </c>
      <c r="L11" s="52">
        <v>70.5</v>
      </c>
    </row>
    <row r="12" spans="1:12" x14ac:dyDescent="0.3">
      <c r="A12" s="32" t="s">
        <v>47</v>
      </c>
      <c r="B12" s="33">
        <v>34003</v>
      </c>
      <c r="C12" s="34" t="s">
        <v>34</v>
      </c>
      <c r="D12" s="34">
        <v>65</v>
      </c>
      <c r="E12" s="34">
        <v>73</v>
      </c>
      <c r="F12" s="35">
        <v>82</v>
      </c>
      <c r="H12" t="s">
        <v>22</v>
      </c>
      <c r="J12" s="52">
        <v>83</v>
      </c>
      <c r="K12" s="52">
        <v>78.166666666666671</v>
      </c>
      <c r="L12" s="52">
        <v>70.833333333333329</v>
      </c>
    </row>
    <row r="13" spans="1:12" x14ac:dyDescent="0.3">
      <c r="A13" s="32" t="s">
        <v>49</v>
      </c>
      <c r="B13" s="33">
        <v>34622</v>
      </c>
      <c r="C13" s="34" t="s">
        <v>12</v>
      </c>
      <c r="D13" s="34">
        <v>74</v>
      </c>
      <c r="E13" s="34">
        <v>92</v>
      </c>
      <c r="F13" s="35">
        <v>73</v>
      </c>
      <c r="I13" s="53" t="s">
        <v>149</v>
      </c>
      <c r="J13" s="52">
        <v>97</v>
      </c>
      <c r="K13" s="52">
        <v>68</v>
      </c>
      <c r="L13" s="52">
        <v>89</v>
      </c>
    </row>
    <row r="14" spans="1:12" x14ac:dyDescent="0.3">
      <c r="A14" s="32" t="s">
        <v>51</v>
      </c>
      <c r="B14" s="33">
        <v>34455</v>
      </c>
      <c r="C14" s="34" t="s">
        <v>34</v>
      </c>
      <c r="D14" s="34">
        <v>52</v>
      </c>
      <c r="E14" s="34">
        <v>78</v>
      </c>
      <c r="F14" s="35">
        <v>60</v>
      </c>
      <c r="I14" s="53" t="s">
        <v>146</v>
      </c>
      <c r="J14" s="52">
        <v>87</v>
      </c>
      <c r="K14" s="52">
        <v>84</v>
      </c>
      <c r="L14" s="52">
        <v>63</v>
      </c>
    </row>
    <row r="15" spans="1:12" x14ac:dyDescent="0.3">
      <c r="A15" s="32" t="s">
        <v>53</v>
      </c>
      <c r="B15" s="33">
        <v>34220</v>
      </c>
      <c r="C15" s="34" t="s">
        <v>17</v>
      </c>
      <c r="D15" s="34">
        <v>76</v>
      </c>
      <c r="E15" s="34">
        <v>65</v>
      </c>
      <c r="F15" s="35">
        <v>88</v>
      </c>
      <c r="I15" s="53" t="s">
        <v>150</v>
      </c>
      <c r="J15" s="52">
        <v>79</v>
      </c>
      <c r="K15" s="52">
        <v>94</v>
      </c>
      <c r="L15" s="52">
        <v>69</v>
      </c>
    </row>
    <row r="16" spans="1:12" x14ac:dyDescent="0.3">
      <c r="A16" s="32" t="s">
        <v>55</v>
      </c>
      <c r="B16" s="33">
        <v>34019</v>
      </c>
      <c r="C16" s="34" t="s">
        <v>12</v>
      </c>
      <c r="D16" s="34">
        <v>61</v>
      </c>
      <c r="E16" s="34">
        <v>98</v>
      </c>
      <c r="F16" s="35">
        <v>68</v>
      </c>
      <c r="I16" s="53" t="s">
        <v>148</v>
      </c>
      <c r="J16" s="52">
        <v>78.333333333333329</v>
      </c>
      <c r="K16" s="52">
        <v>74.333333333333329</v>
      </c>
      <c r="L16" s="52">
        <v>68</v>
      </c>
    </row>
    <row r="17" spans="1:12" x14ac:dyDescent="0.3">
      <c r="A17" s="32" t="s">
        <v>57</v>
      </c>
      <c r="B17" s="33">
        <v>34398</v>
      </c>
      <c r="C17" s="34" t="s">
        <v>17</v>
      </c>
      <c r="D17" s="34">
        <v>86</v>
      </c>
      <c r="E17" s="34">
        <v>66</v>
      </c>
      <c r="F17" s="35">
        <v>87</v>
      </c>
      <c r="H17" t="s">
        <v>12</v>
      </c>
      <c r="J17" s="52">
        <v>70.142857142857139</v>
      </c>
      <c r="K17" s="52">
        <v>77.142857142857139</v>
      </c>
      <c r="L17" s="52">
        <v>76.857142857142861</v>
      </c>
    </row>
    <row r="18" spans="1:12" x14ac:dyDescent="0.3">
      <c r="A18" s="32" t="s">
        <v>59</v>
      </c>
      <c r="B18" s="33">
        <v>34387</v>
      </c>
      <c r="C18" s="34" t="s">
        <v>22</v>
      </c>
      <c r="D18" s="34">
        <v>84</v>
      </c>
      <c r="E18" s="34">
        <v>70</v>
      </c>
      <c r="F18" s="35">
        <v>59</v>
      </c>
      <c r="I18" s="53" t="s">
        <v>149</v>
      </c>
      <c r="J18" s="52">
        <v>76</v>
      </c>
      <c r="K18" s="52">
        <v>80</v>
      </c>
      <c r="L18" s="52">
        <v>89</v>
      </c>
    </row>
    <row r="19" spans="1:12" x14ac:dyDescent="0.3">
      <c r="A19" s="32" t="s">
        <v>73</v>
      </c>
      <c r="B19" s="33">
        <v>33637</v>
      </c>
      <c r="C19" s="34" t="s">
        <v>42</v>
      </c>
      <c r="D19" s="34">
        <v>97</v>
      </c>
      <c r="E19" s="34">
        <v>98</v>
      </c>
      <c r="F19" s="35">
        <v>85</v>
      </c>
      <c r="I19" s="53" t="s">
        <v>147</v>
      </c>
      <c r="J19" s="52">
        <v>64.5</v>
      </c>
      <c r="K19" s="52">
        <v>99</v>
      </c>
      <c r="L19" s="52">
        <v>59.5</v>
      </c>
    </row>
    <row r="20" spans="1:12" x14ac:dyDescent="0.3">
      <c r="A20" s="32" t="s">
        <v>28</v>
      </c>
      <c r="B20" s="33">
        <v>34453</v>
      </c>
      <c r="C20" s="34" t="s">
        <v>12</v>
      </c>
      <c r="D20" s="34">
        <v>68</v>
      </c>
      <c r="E20" s="34">
        <v>50</v>
      </c>
      <c r="F20" s="35">
        <v>89</v>
      </c>
      <c r="I20" s="53" t="s">
        <v>148</v>
      </c>
      <c r="J20" s="52">
        <v>71.5</v>
      </c>
      <c r="K20" s="52">
        <v>65.5</v>
      </c>
      <c r="L20" s="52">
        <v>82.5</v>
      </c>
    </row>
    <row r="21" spans="1:12" x14ac:dyDescent="0.3">
      <c r="A21" s="32" t="s">
        <v>30</v>
      </c>
      <c r="B21" s="33">
        <v>34469</v>
      </c>
      <c r="C21" s="34" t="s">
        <v>22</v>
      </c>
      <c r="D21" s="34">
        <v>64</v>
      </c>
      <c r="E21" s="34">
        <v>59</v>
      </c>
      <c r="F21" s="35">
        <v>53</v>
      </c>
      <c r="H21" t="s">
        <v>34</v>
      </c>
      <c r="J21" s="52">
        <v>69.5</v>
      </c>
      <c r="K21" s="52">
        <v>81.166666666666671</v>
      </c>
      <c r="L21" s="52">
        <v>78.666666666666671</v>
      </c>
    </row>
    <row r="22" spans="1:12" x14ac:dyDescent="0.3">
      <c r="A22" s="32" t="s">
        <v>33</v>
      </c>
      <c r="B22" s="33">
        <v>34107</v>
      </c>
      <c r="C22" s="34" t="s">
        <v>34</v>
      </c>
      <c r="D22" s="34">
        <v>85</v>
      </c>
      <c r="E22" s="34">
        <v>97</v>
      </c>
      <c r="F22" s="35">
        <v>89</v>
      </c>
      <c r="I22" s="53" t="s">
        <v>146</v>
      </c>
      <c r="J22" s="52">
        <v>72</v>
      </c>
      <c r="K22" s="52">
        <v>96</v>
      </c>
      <c r="L22" s="52">
        <v>77</v>
      </c>
    </row>
    <row r="23" spans="1:12" x14ac:dyDescent="0.3">
      <c r="A23" s="32" t="s">
        <v>37</v>
      </c>
      <c r="B23" s="33">
        <v>34200</v>
      </c>
      <c r="C23" s="34" t="s">
        <v>38</v>
      </c>
      <c r="D23" s="34">
        <v>86</v>
      </c>
      <c r="E23" s="34">
        <v>68</v>
      </c>
      <c r="F23" s="35">
        <v>59</v>
      </c>
      <c r="I23" s="53" t="s">
        <v>150</v>
      </c>
      <c r="J23" s="52">
        <v>50</v>
      </c>
      <c r="K23" s="52">
        <v>84</v>
      </c>
      <c r="L23" s="52">
        <v>79</v>
      </c>
    </row>
    <row r="24" spans="1:12" x14ac:dyDescent="0.3">
      <c r="A24" s="32" t="s">
        <v>41</v>
      </c>
      <c r="B24" s="33">
        <v>34673</v>
      </c>
      <c r="C24" s="34" t="s">
        <v>42</v>
      </c>
      <c r="D24" s="34">
        <v>82</v>
      </c>
      <c r="E24" s="34">
        <v>88</v>
      </c>
      <c r="F24" s="35">
        <v>54</v>
      </c>
      <c r="I24" s="53" t="s">
        <v>147</v>
      </c>
      <c r="J24" s="52">
        <v>75</v>
      </c>
      <c r="K24" s="52">
        <v>85</v>
      </c>
      <c r="L24" s="52">
        <v>85.5</v>
      </c>
    </row>
    <row r="25" spans="1:12" x14ac:dyDescent="0.3">
      <c r="A25" s="32" t="s">
        <v>45</v>
      </c>
      <c r="B25" s="33">
        <v>33095</v>
      </c>
      <c r="C25" s="34" t="s">
        <v>22</v>
      </c>
      <c r="D25" s="34">
        <v>97</v>
      </c>
      <c r="E25" s="34">
        <v>68</v>
      </c>
      <c r="F25" s="35">
        <v>89</v>
      </c>
      <c r="I25" s="53" t="s">
        <v>148</v>
      </c>
      <c r="J25" s="52">
        <v>72.5</v>
      </c>
      <c r="K25" s="52">
        <v>68.5</v>
      </c>
      <c r="L25" s="52">
        <v>72.5</v>
      </c>
    </row>
    <row r="26" spans="1:12" x14ac:dyDescent="0.3">
      <c r="A26" s="32" t="s">
        <v>75</v>
      </c>
      <c r="B26" s="33">
        <v>34474</v>
      </c>
      <c r="C26" s="34" t="s">
        <v>38</v>
      </c>
      <c r="D26" s="34">
        <v>55</v>
      </c>
      <c r="E26" s="34">
        <v>68</v>
      </c>
      <c r="F26" s="35">
        <v>66</v>
      </c>
      <c r="H26" t="s">
        <v>42</v>
      </c>
      <c r="J26" s="52">
        <v>90.333333333333329</v>
      </c>
      <c r="K26" s="52">
        <v>91</v>
      </c>
      <c r="L26" s="52">
        <v>76.333333333333329</v>
      </c>
    </row>
    <row r="27" spans="1:12" x14ac:dyDescent="0.3">
      <c r="A27" s="32" t="s">
        <v>77</v>
      </c>
      <c r="B27" s="33">
        <v>34540</v>
      </c>
      <c r="C27" s="34" t="s">
        <v>17</v>
      </c>
      <c r="D27" s="34">
        <v>89</v>
      </c>
      <c r="E27" s="34">
        <v>90</v>
      </c>
      <c r="F27" s="35">
        <v>92</v>
      </c>
      <c r="I27" s="53" t="s">
        <v>150</v>
      </c>
      <c r="J27" s="52">
        <v>94.5</v>
      </c>
      <c r="K27" s="52">
        <v>92.5</v>
      </c>
      <c r="L27" s="52">
        <v>87.5</v>
      </c>
    </row>
    <row r="28" spans="1:12" x14ac:dyDescent="0.3">
      <c r="A28" s="32" t="s">
        <v>79</v>
      </c>
      <c r="B28" s="33">
        <v>34668</v>
      </c>
      <c r="C28" s="34" t="s">
        <v>12</v>
      </c>
      <c r="D28" s="34">
        <v>92</v>
      </c>
      <c r="E28" s="34">
        <v>64</v>
      </c>
      <c r="F28" s="35">
        <v>76</v>
      </c>
      <c r="I28" s="53" t="s">
        <v>148</v>
      </c>
      <c r="J28" s="52">
        <v>82</v>
      </c>
      <c r="K28" s="52">
        <v>88</v>
      </c>
      <c r="L28" s="52">
        <v>54</v>
      </c>
    </row>
    <row r="29" spans="1:12" x14ac:dyDescent="0.3">
      <c r="A29" s="32" t="s">
        <v>81</v>
      </c>
      <c r="B29" s="33">
        <v>32953</v>
      </c>
      <c r="C29" s="34" t="s">
        <v>38</v>
      </c>
      <c r="D29" s="34">
        <v>71</v>
      </c>
      <c r="E29" s="34">
        <v>97</v>
      </c>
      <c r="F29" s="35">
        <v>68</v>
      </c>
      <c r="H29" t="s">
        <v>151</v>
      </c>
      <c r="J29" s="52">
        <v>75.766666666666666</v>
      </c>
      <c r="K29" s="52">
        <v>80.36666666666666</v>
      </c>
      <c r="L29" s="52">
        <v>76.36666666666666</v>
      </c>
    </row>
    <row r="30" spans="1:12" x14ac:dyDescent="0.3">
      <c r="A30" s="32" t="s">
        <v>26</v>
      </c>
      <c r="B30" s="33">
        <v>32914</v>
      </c>
      <c r="C30" s="34" t="s">
        <v>12</v>
      </c>
      <c r="D30" s="34">
        <v>76</v>
      </c>
      <c r="E30" s="34">
        <v>80</v>
      </c>
      <c r="F30" s="35">
        <v>89</v>
      </c>
    </row>
    <row r="31" spans="1:12" x14ac:dyDescent="0.3">
      <c r="A31" s="32" t="s">
        <v>83</v>
      </c>
      <c r="B31" s="33">
        <v>34523</v>
      </c>
      <c r="C31" s="34" t="s">
        <v>12</v>
      </c>
      <c r="D31" s="34">
        <v>52</v>
      </c>
      <c r="E31" s="34">
        <v>56</v>
      </c>
      <c r="F31" s="35">
        <v>92</v>
      </c>
    </row>
    <row r="32" spans="1:12" x14ac:dyDescent="0.3">
      <c r="A32" s="32" t="s">
        <v>85</v>
      </c>
      <c r="B32" s="33">
        <v>34483</v>
      </c>
      <c r="C32" s="34" t="s">
        <v>22</v>
      </c>
      <c r="D32" s="34">
        <v>87</v>
      </c>
      <c r="E32" s="34">
        <v>94</v>
      </c>
      <c r="F32" s="35">
        <v>92</v>
      </c>
    </row>
    <row r="33" spans="1:6" x14ac:dyDescent="0.3">
      <c r="A33" s="36" t="s">
        <v>87</v>
      </c>
      <c r="B33" s="37">
        <v>34360</v>
      </c>
      <c r="C33" s="38" t="s">
        <v>34</v>
      </c>
      <c r="D33" s="38">
        <v>93</v>
      </c>
      <c r="E33" s="38">
        <v>59</v>
      </c>
      <c r="F33" s="39">
        <v>85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L30"/>
  <sheetViews>
    <sheetView workbookViewId="0"/>
  </sheetViews>
  <sheetFormatPr defaultRowHeight="16.5" x14ac:dyDescent="0.3"/>
  <cols>
    <col min="1" max="1" width="3.5" customWidth="1"/>
    <col min="4" max="4" width="12.75" customWidth="1"/>
    <col min="5" max="5" width="9" customWidth="1"/>
    <col min="8" max="8" width="5.125" customWidth="1"/>
    <col min="9" max="9" width="13.25" customWidth="1"/>
    <col min="14" max="14" width="15.875" customWidth="1"/>
  </cols>
  <sheetData>
    <row r="2" spans="2:12" x14ac:dyDescent="0.3">
      <c r="B2" t="s">
        <v>0</v>
      </c>
      <c r="I2" t="s">
        <v>135</v>
      </c>
    </row>
    <row r="3" spans="2:12" x14ac:dyDescent="0.3">
      <c r="B3" s="9" t="s">
        <v>1</v>
      </c>
      <c r="C3" s="9" t="s">
        <v>2</v>
      </c>
      <c r="D3" s="9" t="s">
        <v>89</v>
      </c>
      <c r="E3" s="9" t="s">
        <v>6</v>
      </c>
      <c r="F3" s="9" t="s">
        <v>7</v>
      </c>
      <c r="G3" s="9" t="s">
        <v>8</v>
      </c>
      <c r="I3" s="21" t="s">
        <v>89</v>
      </c>
      <c r="J3" s="21" t="s">
        <v>6</v>
      </c>
      <c r="K3" s="21" t="s">
        <v>7</v>
      </c>
      <c r="L3" s="21" t="s">
        <v>8</v>
      </c>
    </row>
    <row r="4" spans="2:12" x14ac:dyDescent="0.3">
      <c r="B4" s="4" t="s">
        <v>80</v>
      </c>
      <c r="C4" s="4" t="s">
        <v>81</v>
      </c>
      <c r="D4" s="6" t="s">
        <v>38</v>
      </c>
      <c r="E4" s="7">
        <v>71</v>
      </c>
      <c r="F4" s="7">
        <v>97</v>
      </c>
      <c r="G4" s="7">
        <v>68</v>
      </c>
      <c r="I4" s="22" t="s">
        <v>12</v>
      </c>
      <c r="J4" s="23">
        <v>71.666666666666671</v>
      </c>
      <c r="K4" s="23">
        <v>73.666666666666671</v>
      </c>
      <c r="L4" s="23">
        <v>78.333333333333329</v>
      </c>
    </row>
    <row r="5" spans="2:12" x14ac:dyDescent="0.3">
      <c r="B5" s="4" t="s">
        <v>25</v>
      </c>
      <c r="C5" s="4" t="s">
        <v>26</v>
      </c>
      <c r="D5" s="6" t="s">
        <v>12</v>
      </c>
      <c r="E5" s="7">
        <v>76</v>
      </c>
      <c r="F5" s="7">
        <v>80</v>
      </c>
      <c r="G5" s="7">
        <v>89</v>
      </c>
      <c r="I5" s="22" t="s">
        <v>38</v>
      </c>
      <c r="J5" s="23">
        <v>71</v>
      </c>
      <c r="K5" s="23">
        <v>88</v>
      </c>
      <c r="L5" s="23">
        <v>67.333333333333329</v>
      </c>
    </row>
    <row r="6" spans="2:12" x14ac:dyDescent="0.3">
      <c r="B6" s="4" t="s">
        <v>63</v>
      </c>
      <c r="C6" s="4" t="s">
        <v>64</v>
      </c>
      <c r="D6" s="6" t="s">
        <v>22</v>
      </c>
      <c r="E6" s="7">
        <v>87</v>
      </c>
      <c r="F6" s="7">
        <v>84</v>
      </c>
      <c r="G6" s="7">
        <v>63</v>
      </c>
      <c r="I6" s="22" t="s">
        <v>22</v>
      </c>
      <c r="J6" s="23">
        <v>82.2</v>
      </c>
      <c r="K6" s="23">
        <v>75</v>
      </c>
      <c r="L6" s="23">
        <v>66.599999999999994</v>
      </c>
    </row>
    <row r="7" spans="2:12" x14ac:dyDescent="0.3">
      <c r="B7" s="4" t="s">
        <v>44</v>
      </c>
      <c r="C7" s="4" t="s">
        <v>45</v>
      </c>
      <c r="D7" s="6" t="s">
        <v>22</v>
      </c>
      <c r="E7" s="7">
        <v>97</v>
      </c>
      <c r="F7" s="7">
        <v>68</v>
      </c>
      <c r="G7" s="7">
        <v>89</v>
      </c>
      <c r="I7" s="22" t="s">
        <v>34</v>
      </c>
      <c r="J7" s="23">
        <v>63</v>
      </c>
      <c r="K7" s="23">
        <v>83</v>
      </c>
      <c r="L7" s="23">
        <v>77.5</v>
      </c>
    </row>
    <row r="8" spans="2:12" x14ac:dyDescent="0.3">
      <c r="B8" s="12"/>
      <c r="C8" s="12"/>
      <c r="D8" s="12"/>
      <c r="E8" s="13"/>
      <c r="F8" s="13"/>
      <c r="G8" s="13"/>
      <c r="I8" s="22" t="s">
        <v>17</v>
      </c>
      <c r="J8" s="23">
        <v>83</v>
      </c>
      <c r="K8" s="23">
        <v>89.5</v>
      </c>
      <c r="L8" s="23">
        <v>92</v>
      </c>
    </row>
    <row r="9" spans="2:12" x14ac:dyDescent="0.3">
      <c r="B9" t="s">
        <v>124</v>
      </c>
      <c r="C9" s="12"/>
      <c r="D9" s="12"/>
      <c r="E9" s="13"/>
      <c r="F9" s="13"/>
      <c r="G9" s="13"/>
      <c r="I9" s="22" t="s">
        <v>42</v>
      </c>
      <c r="J9" s="23">
        <v>97</v>
      </c>
      <c r="K9" s="23">
        <v>98</v>
      </c>
      <c r="L9" s="23">
        <v>85</v>
      </c>
    </row>
    <row r="10" spans="2:12" x14ac:dyDescent="0.3">
      <c r="B10" s="9" t="s">
        <v>1</v>
      </c>
      <c r="C10" s="9" t="s">
        <v>2</v>
      </c>
      <c r="D10" s="9" t="s">
        <v>89</v>
      </c>
      <c r="E10" s="9" t="s">
        <v>6</v>
      </c>
      <c r="F10" s="9" t="s">
        <v>7</v>
      </c>
      <c r="G10" s="9" t="s">
        <v>8</v>
      </c>
      <c r="I10" s="24"/>
      <c r="J10" s="25"/>
      <c r="K10" s="25"/>
      <c r="L10" s="25"/>
    </row>
    <row r="11" spans="2:12" x14ac:dyDescent="0.3">
      <c r="B11" s="4" t="s">
        <v>46</v>
      </c>
      <c r="C11" s="4" t="s">
        <v>47</v>
      </c>
      <c r="D11" s="6" t="s">
        <v>34</v>
      </c>
      <c r="E11" s="7">
        <v>65</v>
      </c>
      <c r="F11" s="7">
        <v>73</v>
      </c>
      <c r="G11" s="7">
        <v>82</v>
      </c>
    </row>
    <row r="12" spans="2:12" x14ac:dyDescent="0.3">
      <c r="B12" s="4" t="s">
        <v>67</v>
      </c>
      <c r="C12" s="4" t="s">
        <v>68</v>
      </c>
      <c r="D12" s="6" t="s">
        <v>34</v>
      </c>
      <c r="E12" s="7">
        <v>50</v>
      </c>
      <c r="F12" s="7">
        <v>84</v>
      </c>
      <c r="G12" s="7">
        <v>79</v>
      </c>
    </row>
    <row r="13" spans="2:12" x14ac:dyDescent="0.3">
      <c r="B13" s="4" t="s">
        <v>10</v>
      </c>
      <c r="C13" s="4" t="s">
        <v>11</v>
      </c>
      <c r="D13" s="6" t="s">
        <v>12</v>
      </c>
      <c r="E13" s="7">
        <v>68</v>
      </c>
      <c r="F13" s="7">
        <v>100</v>
      </c>
      <c r="G13" s="7">
        <v>51</v>
      </c>
    </row>
    <row r="14" spans="2:12" x14ac:dyDescent="0.3">
      <c r="B14" s="4" t="s">
        <v>36</v>
      </c>
      <c r="C14" s="4" t="s">
        <v>37</v>
      </c>
      <c r="D14" s="6" t="s">
        <v>38</v>
      </c>
      <c r="E14" s="7">
        <v>86</v>
      </c>
      <c r="F14" s="7">
        <v>68</v>
      </c>
      <c r="G14" s="7">
        <v>59</v>
      </c>
    </row>
    <row r="15" spans="2:12" x14ac:dyDescent="0.3">
      <c r="B15" s="4" t="s">
        <v>32</v>
      </c>
      <c r="C15" s="4" t="s">
        <v>33</v>
      </c>
      <c r="D15" s="6" t="s">
        <v>34</v>
      </c>
      <c r="E15" s="7">
        <v>85</v>
      </c>
      <c r="F15" s="7">
        <v>97</v>
      </c>
      <c r="G15" s="7">
        <v>89</v>
      </c>
    </row>
    <row r="16" spans="2:12" x14ac:dyDescent="0.3">
      <c r="B16" s="4" t="s">
        <v>15</v>
      </c>
      <c r="C16" s="4" t="s">
        <v>16</v>
      </c>
      <c r="D16" s="6" t="s">
        <v>17</v>
      </c>
      <c r="E16" s="7">
        <v>77</v>
      </c>
      <c r="F16" s="7">
        <v>89</v>
      </c>
      <c r="G16" s="7">
        <v>92</v>
      </c>
    </row>
    <row r="17" spans="2:7" x14ac:dyDescent="0.3">
      <c r="B17" s="4" t="s">
        <v>20</v>
      </c>
      <c r="C17" s="4" t="s">
        <v>21</v>
      </c>
      <c r="D17" s="6" t="s">
        <v>22</v>
      </c>
      <c r="E17" s="7">
        <v>79</v>
      </c>
      <c r="F17" s="7">
        <v>94</v>
      </c>
      <c r="G17" s="7">
        <v>69</v>
      </c>
    </row>
    <row r="18" spans="2:7" x14ac:dyDescent="0.3">
      <c r="B18" s="12"/>
      <c r="C18" s="12"/>
      <c r="D18" s="12"/>
      <c r="E18" s="13"/>
      <c r="F18" s="13"/>
      <c r="G18" s="13"/>
    </row>
    <row r="19" spans="2:7" x14ac:dyDescent="0.3">
      <c r="B19" t="s">
        <v>129</v>
      </c>
      <c r="C19" s="12"/>
      <c r="D19" s="12"/>
      <c r="E19" s="13"/>
      <c r="F19" s="13"/>
      <c r="G19" s="13"/>
    </row>
    <row r="20" spans="2:7" x14ac:dyDescent="0.3">
      <c r="B20" s="9" t="s">
        <v>1</v>
      </c>
      <c r="C20" s="9" t="s">
        <v>2</v>
      </c>
      <c r="D20" s="9" t="s">
        <v>89</v>
      </c>
      <c r="E20" s="9" t="s">
        <v>6</v>
      </c>
      <c r="F20" s="9" t="s">
        <v>7</v>
      </c>
      <c r="G20" s="9" t="s">
        <v>8</v>
      </c>
    </row>
    <row r="21" spans="2:7" x14ac:dyDescent="0.3">
      <c r="B21" s="4" t="s">
        <v>82</v>
      </c>
      <c r="C21" s="4" t="s">
        <v>83</v>
      </c>
      <c r="D21" s="6" t="s">
        <v>12</v>
      </c>
      <c r="E21" s="7">
        <v>52</v>
      </c>
      <c r="F21" s="7">
        <v>56</v>
      </c>
      <c r="G21" s="7">
        <v>92</v>
      </c>
    </row>
    <row r="22" spans="2:7" x14ac:dyDescent="0.3">
      <c r="B22" s="4" t="s">
        <v>29</v>
      </c>
      <c r="C22" s="4" t="s">
        <v>30</v>
      </c>
      <c r="D22" s="6" t="s">
        <v>22</v>
      </c>
      <c r="E22" s="7">
        <v>64</v>
      </c>
      <c r="F22" s="7">
        <v>59</v>
      </c>
      <c r="G22" s="7">
        <v>53</v>
      </c>
    </row>
    <row r="23" spans="2:7" x14ac:dyDescent="0.3">
      <c r="B23" s="4" t="s">
        <v>76</v>
      </c>
      <c r="C23" s="4" t="s">
        <v>77</v>
      </c>
      <c r="D23" s="6" t="s">
        <v>17</v>
      </c>
      <c r="E23" s="7">
        <v>89</v>
      </c>
      <c r="F23" s="7">
        <v>90</v>
      </c>
      <c r="G23" s="7">
        <v>92</v>
      </c>
    </row>
    <row r="24" spans="2:7" x14ac:dyDescent="0.3">
      <c r="B24" s="4" t="s">
        <v>50</v>
      </c>
      <c r="C24" s="4" t="s">
        <v>51</v>
      </c>
      <c r="D24" s="6" t="s">
        <v>34</v>
      </c>
      <c r="E24" s="7">
        <v>52</v>
      </c>
      <c r="F24" s="7">
        <v>78</v>
      </c>
      <c r="G24" s="7">
        <v>60</v>
      </c>
    </row>
    <row r="25" spans="2:7" x14ac:dyDescent="0.3">
      <c r="B25" s="4" t="s">
        <v>27</v>
      </c>
      <c r="C25" s="4" t="s">
        <v>28</v>
      </c>
      <c r="D25" s="6" t="s">
        <v>12</v>
      </c>
      <c r="E25" s="7">
        <v>68</v>
      </c>
      <c r="F25" s="7">
        <v>50</v>
      </c>
      <c r="G25" s="7">
        <v>89</v>
      </c>
    </row>
    <row r="26" spans="2:7" x14ac:dyDescent="0.3">
      <c r="B26" s="4" t="s">
        <v>58</v>
      </c>
      <c r="C26" s="4" t="s">
        <v>59</v>
      </c>
      <c r="D26" s="6" t="s">
        <v>22</v>
      </c>
      <c r="E26" s="7">
        <v>84</v>
      </c>
      <c r="F26" s="7">
        <v>70</v>
      </c>
      <c r="G26" s="7">
        <v>59</v>
      </c>
    </row>
    <row r="27" spans="2:7" x14ac:dyDescent="0.3">
      <c r="B27" s="4" t="s">
        <v>78</v>
      </c>
      <c r="C27" s="4" t="s">
        <v>79</v>
      </c>
      <c r="D27" s="6" t="s">
        <v>12</v>
      </c>
      <c r="E27" s="7">
        <v>92</v>
      </c>
      <c r="F27" s="7">
        <v>64</v>
      </c>
      <c r="G27" s="7">
        <v>76</v>
      </c>
    </row>
    <row r="28" spans="2:7" x14ac:dyDescent="0.3">
      <c r="B28" s="4" t="s">
        <v>48</v>
      </c>
      <c r="C28" s="4" t="s">
        <v>49</v>
      </c>
      <c r="D28" s="6" t="s">
        <v>12</v>
      </c>
      <c r="E28" s="7">
        <v>74</v>
      </c>
      <c r="F28" s="7">
        <v>92</v>
      </c>
      <c r="G28" s="7">
        <v>73</v>
      </c>
    </row>
    <row r="29" spans="2:7" x14ac:dyDescent="0.3">
      <c r="B29" s="4" t="s">
        <v>72</v>
      </c>
      <c r="C29" s="4" t="s">
        <v>73</v>
      </c>
      <c r="D29" s="6" t="s">
        <v>42</v>
      </c>
      <c r="E29" s="7">
        <v>97</v>
      </c>
      <c r="F29" s="7">
        <v>98</v>
      </c>
      <c r="G29" s="7">
        <v>85</v>
      </c>
    </row>
    <row r="30" spans="2:7" x14ac:dyDescent="0.3">
      <c r="B30" s="4" t="s">
        <v>70</v>
      </c>
      <c r="C30" s="4" t="s">
        <v>71</v>
      </c>
      <c r="D30" s="6" t="s">
        <v>38</v>
      </c>
      <c r="E30" s="7">
        <v>56</v>
      </c>
      <c r="F30" s="7">
        <v>99</v>
      </c>
      <c r="G30" s="7">
        <v>75</v>
      </c>
    </row>
  </sheetData>
  <dataConsolidate function="average" leftLabels="1" topLabels="1">
    <dataRefs count="3">
      <dataRef ref="D3:G7" sheet="분석작업-2"/>
      <dataRef ref="D10:G17" sheet="분석작업-2"/>
      <dataRef ref="D20:G30" sheet="분석작업-2"/>
    </dataRefs>
  </dataConsolidate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G14"/>
  <sheetViews>
    <sheetView workbookViewId="0"/>
  </sheetViews>
  <sheetFormatPr defaultRowHeight="16.5" x14ac:dyDescent="0.3"/>
  <cols>
    <col min="1" max="1" width="4.5" customWidth="1"/>
    <col min="4" max="4" width="13" customWidth="1"/>
  </cols>
  <sheetData>
    <row r="3" spans="2:7" x14ac:dyDescent="0.3">
      <c r="B3" s="9" t="s">
        <v>1</v>
      </c>
      <c r="C3" s="9" t="s">
        <v>2</v>
      </c>
      <c r="D3" s="9" t="s">
        <v>89</v>
      </c>
      <c r="E3" s="9" t="s">
        <v>6</v>
      </c>
      <c r="F3" s="9" t="s">
        <v>7</v>
      </c>
      <c r="G3" s="9" t="s">
        <v>8</v>
      </c>
    </row>
    <row r="4" spans="2:7" x14ac:dyDescent="0.3">
      <c r="B4" s="4" t="s">
        <v>82</v>
      </c>
      <c r="C4" s="4" t="s">
        <v>83</v>
      </c>
      <c r="D4" s="6" t="s">
        <v>12</v>
      </c>
      <c r="E4" s="7">
        <v>52</v>
      </c>
      <c r="F4" s="7">
        <v>56</v>
      </c>
      <c r="G4" s="7">
        <v>92</v>
      </c>
    </row>
    <row r="5" spans="2:7" x14ac:dyDescent="0.3">
      <c r="B5" s="4" t="s">
        <v>29</v>
      </c>
      <c r="C5" s="4" t="s">
        <v>30</v>
      </c>
      <c r="D5" s="6" t="s">
        <v>22</v>
      </c>
      <c r="E5" s="7">
        <v>64</v>
      </c>
      <c r="F5" s="7">
        <v>59</v>
      </c>
      <c r="G5" s="7">
        <v>53</v>
      </c>
    </row>
    <row r="6" spans="2:7" x14ac:dyDescent="0.3">
      <c r="B6" s="4" t="s">
        <v>76</v>
      </c>
      <c r="C6" s="4" t="s">
        <v>77</v>
      </c>
      <c r="D6" s="6" t="s">
        <v>17</v>
      </c>
      <c r="E6" s="7">
        <v>89</v>
      </c>
      <c r="F6" s="7">
        <v>90</v>
      </c>
      <c r="G6" s="7">
        <v>92</v>
      </c>
    </row>
    <row r="7" spans="2:7" x14ac:dyDescent="0.3">
      <c r="B7" s="4" t="s">
        <v>50</v>
      </c>
      <c r="C7" s="4" t="s">
        <v>51</v>
      </c>
      <c r="D7" s="6" t="s">
        <v>34</v>
      </c>
      <c r="E7" s="7">
        <v>52</v>
      </c>
      <c r="F7" s="7">
        <v>78</v>
      </c>
      <c r="G7" s="7">
        <v>60</v>
      </c>
    </row>
    <row r="8" spans="2:7" x14ac:dyDescent="0.3">
      <c r="B8" s="4" t="s">
        <v>27</v>
      </c>
      <c r="C8" s="4" t="s">
        <v>28</v>
      </c>
      <c r="D8" s="6" t="s">
        <v>12</v>
      </c>
      <c r="E8" s="7">
        <v>68</v>
      </c>
      <c r="F8" s="7">
        <v>50</v>
      </c>
      <c r="G8" s="7">
        <v>89</v>
      </c>
    </row>
    <row r="9" spans="2:7" x14ac:dyDescent="0.3">
      <c r="B9" s="4" t="s">
        <v>58</v>
      </c>
      <c r="C9" s="4" t="s">
        <v>59</v>
      </c>
      <c r="D9" s="6" t="s">
        <v>22</v>
      </c>
      <c r="E9" s="7">
        <v>84</v>
      </c>
      <c r="F9" s="7">
        <v>70</v>
      </c>
      <c r="G9" s="7">
        <v>59</v>
      </c>
    </row>
    <row r="10" spans="2:7" x14ac:dyDescent="0.3">
      <c r="B10" s="4" t="s">
        <v>63</v>
      </c>
      <c r="C10" s="4" t="s">
        <v>64</v>
      </c>
      <c r="D10" s="6" t="s">
        <v>22</v>
      </c>
      <c r="E10" s="7">
        <v>87</v>
      </c>
      <c r="F10" s="7">
        <v>84</v>
      </c>
      <c r="G10" s="7">
        <v>63</v>
      </c>
    </row>
    <row r="11" spans="2:7" x14ac:dyDescent="0.3">
      <c r="B11" s="4" t="s">
        <v>78</v>
      </c>
      <c r="C11" s="4" t="s">
        <v>79</v>
      </c>
      <c r="D11" s="6" t="s">
        <v>12</v>
      </c>
      <c r="E11" s="7">
        <v>92</v>
      </c>
      <c r="F11" s="7">
        <v>64</v>
      </c>
      <c r="G11" s="7">
        <v>76</v>
      </c>
    </row>
    <row r="12" spans="2:7" x14ac:dyDescent="0.3">
      <c r="B12" s="4" t="s">
        <v>72</v>
      </c>
      <c r="C12" s="4" t="s">
        <v>73</v>
      </c>
      <c r="D12" s="6" t="s">
        <v>42</v>
      </c>
      <c r="E12" s="7">
        <v>97</v>
      </c>
      <c r="F12" s="7">
        <v>98</v>
      </c>
      <c r="G12" s="7">
        <v>85</v>
      </c>
    </row>
    <row r="13" spans="2:7" x14ac:dyDescent="0.3">
      <c r="B13" s="4" t="s">
        <v>70</v>
      </c>
      <c r="C13" s="4" t="s">
        <v>71</v>
      </c>
      <c r="D13" s="6" t="s">
        <v>38</v>
      </c>
      <c r="E13" s="7">
        <v>56</v>
      </c>
      <c r="F13" s="7">
        <v>99</v>
      </c>
      <c r="G13" s="7">
        <v>75</v>
      </c>
    </row>
    <row r="14" spans="2:7" x14ac:dyDescent="0.3">
      <c r="B14" s="4" t="s">
        <v>80</v>
      </c>
      <c r="C14" s="4" t="s">
        <v>81</v>
      </c>
      <c r="D14" s="6" t="s">
        <v>38</v>
      </c>
      <c r="E14" s="7">
        <v>71</v>
      </c>
      <c r="F14" s="7">
        <v>90</v>
      </c>
      <c r="G14" s="7">
        <v>68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I36"/>
  <sheetViews>
    <sheetView workbookViewId="0"/>
  </sheetViews>
  <sheetFormatPr defaultRowHeight="16.5" x14ac:dyDescent="0.3"/>
  <cols>
    <col min="1" max="1" width="3.25" customWidth="1"/>
    <col min="4" max="4" width="14.25" customWidth="1"/>
    <col min="9" max="9" width="14.125" customWidth="1"/>
    <col min="10" max="10" width="15.875" customWidth="1"/>
  </cols>
  <sheetData>
    <row r="2" spans="2:9" x14ac:dyDescent="0.3">
      <c r="B2" s="3" t="s">
        <v>2</v>
      </c>
      <c r="C2" s="3" t="s">
        <v>1</v>
      </c>
      <c r="D2" s="3" t="s">
        <v>4</v>
      </c>
      <c r="E2" s="3" t="s">
        <v>6</v>
      </c>
      <c r="F2" s="3" t="s">
        <v>7</v>
      </c>
      <c r="G2" s="3" t="s">
        <v>8</v>
      </c>
    </row>
    <row r="3" spans="2:9" x14ac:dyDescent="0.3">
      <c r="B3" s="4" t="s">
        <v>136</v>
      </c>
      <c r="C3" s="4" t="s">
        <v>137</v>
      </c>
      <c r="D3" s="6" t="s">
        <v>12</v>
      </c>
      <c r="E3" s="7">
        <v>90</v>
      </c>
      <c r="F3" s="7">
        <v>55</v>
      </c>
      <c r="G3" s="7">
        <v>51</v>
      </c>
    </row>
    <row r="4" spans="2:9" x14ac:dyDescent="0.3">
      <c r="B4" s="4" t="s">
        <v>138</v>
      </c>
      <c r="C4" s="4" t="s">
        <v>139</v>
      </c>
      <c r="D4" s="6" t="s">
        <v>17</v>
      </c>
      <c r="E4" s="7">
        <v>85</v>
      </c>
      <c r="F4" s="7">
        <v>79</v>
      </c>
      <c r="G4" s="7">
        <v>90</v>
      </c>
    </row>
    <row r="5" spans="2:9" x14ac:dyDescent="0.3">
      <c r="B5" s="4" t="s">
        <v>140</v>
      </c>
      <c r="C5" s="4" t="s">
        <v>141</v>
      </c>
      <c r="D5" s="6" t="s">
        <v>22</v>
      </c>
      <c r="E5" s="7">
        <v>79</v>
      </c>
      <c r="F5" s="7">
        <v>94</v>
      </c>
      <c r="G5" s="7">
        <v>69</v>
      </c>
    </row>
    <row r="6" spans="2:9" x14ac:dyDescent="0.3">
      <c r="B6" s="26"/>
      <c r="C6" s="26"/>
      <c r="I6" s="27" t="s">
        <v>4</v>
      </c>
    </row>
    <row r="7" spans="2:9" x14ac:dyDescent="0.3">
      <c r="B7" s="26"/>
      <c r="C7" s="26"/>
      <c r="I7" s="28" t="s">
        <v>34</v>
      </c>
    </row>
    <row r="8" spans="2:9" x14ac:dyDescent="0.3">
      <c r="B8" s="26"/>
      <c r="C8" s="26"/>
      <c r="I8" s="28" t="s">
        <v>42</v>
      </c>
    </row>
    <row r="9" spans="2:9" x14ac:dyDescent="0.3">
      <c r="B9" s="26"/>
      <c r="C9" s="26"/>
      <c r="I9" s="28" t="s">
        <v>17</v>
      </c>
    </row>
    <row r="10" spans="2:9" x14ac:dyDescent="0.3">
      <c r="B10" s="26"/>
      <c r="C10" s="26"/>
      <c r="I10" s="28" t="s">
        <v>12</v>
      </c>
    </row>
    <row r="11" spans="2:9" x14ac:dyDescent="0.3">
      <c r="B11" s="26"/>
      <c r="C11" s="26"/>
      <c r="I11" s="28" t="s">
        <v>38</v>
      </c>
    </row>
    <row r="12" spans="2:9" x14ac:dyDescent="0.3">
      <c r="B12" s="26"/>
      <c r="C12" s="26"/>
      <c r="I12" s="28" t="s">
        <v>22</v>
      </c>
    </row>
    <row r="13" spans="2:9" x14ac:dyDescent="0.3">
      <c r="B13" s="26"/>
      <c r="C13" s="26"/>
    </row>
    <row r="14" spans="2:9" x14ac:dyDescent="0.3">
      <c r="B14" s="26"/>
      <c r="C14" s="26"/>
    </row>
    <row r="15" spans="2:9" x14ac:dyDescent="0.3">
      <c r="B15" s="26"/>
      <c r="C15" s="26"/>
    </row>
    <row r="16" spans="2:9" x14ac:dyDescent="0.3">
      <c r="B16" s="26"/>
      <c r="C16" s="26"/>
    </row>
    <row r="17" spans="2:3" x14ac:dyDescent="0.3">
      <c r="B17" s="26"/>
      <c r="C17" s="26"/>
    </row>
    <row r="18" spans="2:3" x14ac:dyDescent="0.3">
      <c r="B18" s="26"/>
      <c r="C18" s="26"/>
    </row>
    <row r="19" spans="2:3" x14ac:dyDescent="0.3">
      <c r="B19" s="26"/>
      <c r="C19" s="26"/>
    </row>
    <row r="20" spans="2:3" x14ac:dyDescent="0.3">
      <c r="B20" s="26"/>
      <c r="C20" s="26"/>
    </row>
    <row r="21" spans="2:3" x14ac:dyDescent="0.3">
      <c r="B21" s="26"/>
      <c r="C21" s="26"/>
    </row>
    <row r="22" spans="2:3" x14ac:dyDescent="0.3">
      <c r="B22" s="26"/>
      <c r="C22" s="26"/>
    </row>
    <row r="23" spans="2:3" x14ac:dyDescent="0.3">
      <c r="B23" s="26"/>
      <c r="C23" s="26"/>
    </row>
    <row r="24" spans="2:3" x14ac:dyDescent="0.3">
      <c r="B24" s="26"/>
      <c r="C24" s="26"/>
    </row>
    <row r="25" spans="2:3" x14ac:dyDescent="0.3">
      <c r="B25" s="26"/>
      <c r="C25" s="26"/>
    </row>
    <row r="26" spans="2:3" x14ac:dyDescent="0.3">
      <c r="B26" s="26"/>
      <c r="C26" s="26"/>
    </row>
    <row r="27" spans="2:3" x14ac:dyDescent="0.3">
      <c r="B27" s="26"/>
      <c r="C27" s="26"/>
    </row>
    <row r="28" spans="2:3" x14ac:dyDescent="0.3">
      <c r="B28" s="26"/>
      <c r="C28" s="26"/>
    </row>
    <row r="29" spans="2:3" x14ac:dyDescent="0.3">
      <c r="B29" s="26"/>
      <c r="C29" s="26"/>
    </row>
    <row r="30" spans="2:3" x14ac:dyDescent="0.3">
      <c r="B30" s="26"/>
      <c r="C30" s="26"/>
    </row>
    <row r="31" spans="2:3" x14ac:dyDescent="0.3">
      <c r="B31" s="26"/>
      <c r="C31" s="26"/>
    </row>
    <row r="32" spans="2:3" x14ac:dyDescent="0.3">
      <c r="B32" s="26"/>
      <c r="C32" s="26"/>
    </row>
    <row r="33" spans="2:3" x14ac:dyDescent="0.3">
      <c r="B33" s="26"/>
      <c r="C33" s="26"/>
    </row>
    <row r="34" spans="2:3" x14ac:dyDescent="0.3">
      <c r="B34" s="26"/>
      <c r="C34" s="26"/>
    </row>
    <row r="35" spans="2:3" x14ac:dyDescent="0.3">
      <c r="B35" s="26"/>
      <c r="C35" s="26"/>
    </row>
    <row r="36" spans="2:3" x14ac:dyDescent="0.3">
      <c r="B36" s="26"/>
      <c r="C36" s="2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성적관리">
          <controlPr defaultSize="0" autoLine="0" r:id="rId4">
            <anchor moveWithCells="1">
              <from>
                <xdr:col>8</xdr:col>
                <xdr:colOff>0</xdr:colOff>
                <xdr:row>0</xdr:row>
                <xdr:rowOff>200025</xdr:rowOff>
              </from>
              <to>
                <xdr:col>9</xdr:col>
                <xdr:colOff>819150</xdr:colOff>
                <xdr:row>3</xdr:row>
                <xdr:rowOff>0</xdr:rowOff>
              </to>
            </anchor>
          </controlPr>
        </control>
      </mc:Choice>
      <mc:Fallback>
        <control shapeId="3073" r:id="rId3" name="cmd성적관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2017-09-04T13:05:41Z</cp:lastPrinted>
  <dcterms:created xsi:type="dcterms:W3CDTF">2017-08-31T04:18:13Z</dcterms:created>
  <dcterms:modified xsi:type="dcterms:W3CDTF">2017-09-08T08:27:10Z</dcterms:modified>
</cp:coreProperties>
</file>