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FA6B4E61-1CC5-4944-BD8E-386CAC1F1378}" xr6:coauthVersionLast="45" xr6:coauthVersionMax="45" xr10:uidLastSave="{00000000-0000-0000-0000-000000000000}"/>
  <bookViews>
    <workbookView xWindow="0" yWindow="0" windowWidth="20490" windowHeight="10920" activeTab="2" xr2:uid="{00000000-000D-0000-FFFF-FFFF00000000}"/>
  </bookViews>
  <sheets>
    <sheet name="무작정따라하기" sheetId="4" r:id="rId1"/>
    <sheet name="기출01" sheetId="5" r:id="rId2"/>
    <sheet name="기출02" sheetId="6" r:id="rId3"/>
  </sheets>
  <definedNames>
    <definedName name="성별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6" l="1" a="1"/>
  <c r="D12" i="6" s="1"/>
  <c r="D13" i="6" a="1"/>
  <c r="D13" i="6" s="1"/>
  <c r="D14" i="6" a="1"/>
  <c r="D14" i="6" s="1"/>
  <c r="C12" i="6" a="1"/>
  <c r="C12" i="6" s="1"/>
  <c r="C13" i="6" a="1"/>
  <c r="C13" i="6" s="1"/>
  <c r="C14" i="6" a="1"/>
  <c r="C14" i="6" s="1"/>
  <c r="D11" i="6" a="1"/>
  <c r="D11" i="6" s="1"/>
  <c r="C11" i="6" a="1"/>
  <c r="C11" i="6" s="1"/>
  <c r="H5" i="6" a="1"/>
  <c r="H5" i="6" s="1"/>
  <c r="H6" i="6" a="1"/>
  <c r="H6" i="6" s="1"/>
  <c r="H4" i="6" a="1"/>
  <c r="H4" i="6" s="1"/>
  <c r="E4" i="6" a="1"/>
  <c r="E4" i="6" s="1"/>
  <c r="E5" i="6" a="1"/>
  <c r="E5" i="6" s="1"/>
  <c r="E6" i="6" a="1"/>
  <c r="E6" i="6" s="1"/>
  <c r="D4" i="6" a="1"/>
  <c r="D4" i="6"/>
  <c r="D5" i="6" a="1"/>
  <c r="D5" i="6" s="1"/>
  <c r="D6" i="6" a="1"/>
  <c r="D6" i="6" s="1"/>
  <c r="D3" i="6" a="1"/>
  <c r="D3" i="6" s="1"/>
  <c r="E3" i="6" a="1"/>
  <c r="E3" i="6" s="1"/>
  <c r="C4" i="6" a="1"/>
  <c r="C4" i="6" s="1"/>
  <c r="C5" i="6" a="1"/>
  <c r="C5" i="6" s="1"/>
  <c r="C6" i="6" a="1"/>
  <c r="C6" i="6" s="1"/>
  <c r="C3" i="6" a="1"/>
  <c r="C3" i="6" s="1"/>
  <c r="D9" i="5" a="1"/>
  <c r="D9" i="5" s="1"/>
  <c r="D10" i="5" a="1"/>
  <c r="D10" i="5" s="1"/>
  <c r="D8" i="5" a="1"/>
  <c r="D8" i="5" s="1"/>
  <c r="C9" i="5" a="1"/>
  <c r="C9" i="5" s="1"/>
  <c r="C10" i="5" a="1"/>
  <c r="C10" i="5" s="1"/>
  <c r="C8" i="5" a="1"/>
  <c r="C8" i="5" s="1"/>
  <c r="G4" i="5" a="1"/>
  <c r="G4" i="5" s="1"/>
  <c r="G5" i="5" a="1"/>
  <c r="G5" i="5" s="1"/>
  <c r="D4" i="5" a="1"/>
  <c r="D4" i="5" s="1"/>
  <c r="D3" i="5" a="1"/>
  <c r="D3" i="5" s="1"/>
  <c r="C4" i="5" a="1"/>
  <c r="C4" i="5" s="1"/>
  <c r="C3" i="5" a="1"/>
  <c r="C3" i="5" s="1"/>
  <c r="K4" i="4" l="1" a="1"/>
  <c r="K4" i="4" s="1"/>
  <c r="K5" i="4" a="1"/>
  <c r="K5" i="4"/>
  <c r="K6" i="4" a="1"/>
  <c r="K6" i="4" s="1"/>
  <c r="K7" i="4" a="1"/>
  <c r="K7" i="4"/>
  <c r="J4" i="4" a="1"/>
  <c r="J4" i="4" s="1"/>
  <c r="J5" i="4" a="1"/>
  <c r="J5" i="4"/>
  <c r="J6" i="4" a="1"/>
  <c r="J6" i="4" s="1"/>
  <c r="J7" i="4" a="1"/>
  <c r="J7" i="4"/>
  <c r="J3" i="4" a="1"/>
  <c r="J3" i="4" s="1"/>
  <c r="I4" i="4" a="1"/>
  <c r="I4" i="4" s="1"/>
  <c r="I5" i="4" a="1"/>
  <c r="I5" i="4"/>
  <c r="I6" i="4" a="1"/>
  <c r="I6" i="4" s="1"/>
  <c r="I7" i="4" a="1"/>
  <c r="I7" i="4"/>
  <c r="I3" i="4" a="1"/>
  <c r="I3" i="4" s="1"/>
  <c r="H4" i="4" a="1"/>
  <c r="H4" i="4" s="1"/>
  <c r="H5" i="4" a="1"/>
  <c r="H5" i="4"/>
  <c r="H6" i="4" a="1"/>
  <c r="H6" i="4" s="1"/>
  <c r="H7" i="4" a="1"/>
  <c r="H7" i="4"/>
  <c r="H3" i="4" a="1"/>
  <c r="H3" i="4" s="1"/>
  <c r="G4" i="4" a="1"/>
  <c r="G4" i="4" s="1"/>
  <c r="G5" i="4" a="1"/>
  <c r="G5" i="4" s="1"/>
  <c r="G6" i="4" a="1"/>
  <c r="G6" i="4" s="1"/>
  <c r="G7" i="4" a="1"/>
  <c r="G7" i="4" s="1"/>
  <c r="G3" i="4" a="1"/>
  <c r="G3" i="4" s="1"/>
  <c r="F4" i="4" a="1"/>
  <c r="F4" i="4" s="1"/>
  <c r="F5" i="4" a="1"/>
  <c r="F5" i="4" s="1"/>
  <c r="F6" i="4" a="1"/>
  <c r="F6" i="4" s="1"/>
  <c r="F7" i="4" a="1"/>
  <c r="F7" i="4" s="1"/>
  <c r="F3" i="4" a="1"/>
  <c r="F3" i="4" s="1"/>
  <c r="E4" i="4" a="1"/>
  <c r="E4" i="4" s="1"/>
  <c r="E5" i="4" a="1"/>
  <c r="E5" i="4" s="1"/>
  <c r="E6" i="4" a="1"/>
  <c r="E6" i="4" s="1"/>
  <c r="E7" i="4" a="1"/>
  <c r="E7" i="4" s="1"/>
  <c r="E3" i="4" a="1"/>
  <c r="E3" i="4" s="1"/>
  <c r="C4" i="4" a="1"/>
  <c r="C4" i="4" s="1"/>
  <c r="C5" i="4" a="1"/>
  <c r="C5" i="4" s="1"/>
  <c r="C6" i="4" a="1"/>
  <c r="C6" i="4" s="1"/>
  <c r="C7" i="4" a="1"/>
  <c r="C7" i="4" s="1"/>
  <c r="C3" i="4" a="1"/>
  <c r="C3" i="4" s="1"/>
  <c r="D4" i="4" a="1"/>
  <c r="D4" i="4" s="1"/>
  <c r="D5" i="4" a="1"/>
  <c r="D5" i="4" s="1"/>
  <c r="D6" i="4" a="1"/>
  <c r="D6" i="4" s="1"/>
  <c r="D7" i="4" a="1"/>
  <c r="D7" i="4" s="1"/>
  <c r="D3" i="4" a="1"/>
  <c r="D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C1" authorId="0" shapeId="0" xr:uid="{4E94DF58-D5A0-437A-B9D6-65820189F4C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
→</t>
        </r>
        <r>
          <rPr>
            <sz val="9"/>
            <color indexed="81"/>
            <rFont val="Tahoma"/>
            <family val="2"/>
          </rPr>
          <t xml:space="preserve"> ctrl + shift + Enter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표현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2" authorId="0" shapeId="0" xr:uid="{B487B934-57A0-419A-98EF-11D01B633F6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임대건수를</t>
        </r>
        <r>
          <rPr>
            <b/>
            <sz val="9"/>
            <color indexed="81"/>
            <rFont val="Tahoma"/>
            <family val="2"/>
          </rPr>
          <t xml:space="preserve"> [C3:C7]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ㅁ</t>
        </r>
      </text>
    </comment>
    <comment ref="D2" authorId="0" shapeId="0" xr:uid="{5B49D4B2-D7E9-45A2-BD1A-391B44608A6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[D3:D7]</t>
        </r>
        <r>
          <rPr>
            <b/>
            <sz val="9"/>
            <color indexed="81"/>
            <rFont val="돋움"/>
            <family val="3"/>
            <charset val="129"/>
          </rPr>
          <t>영역에서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-</t>
        </r>
        <r>
          <rPr>
            <sz val="9"/>
            <color indexed="81"/>
            <rFont val="Tahoma"/>
            <family val="2"/>
          </rPr>
          <t>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2" authorId="0" shapeId="0" xr:uid="{42C912BD-0E0C-424B-B31E-AC65709EC17E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김승진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[E3:E7]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2" authorId="0" shapeId="0" xr:uid="{EDA6F16C-5EF2-4616-9B94-1F5DB0ABF89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월임대료를</t>
        </r>
        <r>
          <rPr>
            <b/>
            <sz val="9"/>
            <color indexed="81"/>
            <rFont val="Tahoma"/>
            <family val="2"/>
          </rPr>
          <t xml:space="preserve"> [F3:F7]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평균임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AVERAGE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G2" authorId="0" shapeId="0" xr:uid="{1E247ECC-72C9-4188-959D-8CF8576501F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[G3:G7]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계산하시오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2" authorId="0" shapeId="0" xr:uid="{13917E4D-8CB1-4944-A564-F0DAD8F00DEC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번째로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[H3:H7]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LARGE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I2" authorId="0" shapeId="0" xr:uid="{66EE559D-17FC-42F4-99C5-6F3C1C707B6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중간값을</t>
        </r>
        <r>
          <rPr>
            <b/>
            <sz val="9"/>
            <color indexed="81"/>
            <rFont val="Tahoma"/>
            <family val="2"/>
          </rPr>
          <t xml:space="preserve"> [I3:I7]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MEDIAN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J2" authorId="0" shapeId="0" xr:uid="{10FAF415-AF44-40AD-9768-EC0DEDEBEF5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2018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임대종료건수를</t>
        </r>
        <r>
          <rPr>
            <b/>
            <sz val="9"/>
            <color indexed="81"/>
            <rFont val="Tahoma"/>
            <family val="2"/>
          </rPr>
          <t xml:space="preserve"> [J3:J7]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- 2018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임대종료건수는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임대종료일</t>
        </r>
        <r>
          <rPr>
            <sz val="9"/>
            <color indexed="81"/>
            <rFont val="Tahoma"/>
            <family val="2"/>
          </rPr>
          <t>(H11:H29)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연도가</t>
        </r>
        <r>
          <rPr>
            <sz val="9"/>
            <color indexed="81"/>
            <rFont val="Tahoma"/>
            <family val="2"/>
          </rPr>
          <t xml:space="preserve"> 2018</t>
        </r>
        <r>
          <rPr>
            <sz val="9"/>
            <color indexed="81"/>
            <rFont val="돋움"/>
            <family val="3"/>
            <charset val="129"/>
          </rPr>
          <t>년인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개수임</t>
        </r>
        <r>
          <rPr>
            <sz val="9"/>
            <color indexed="81"/>
            <rFont val="Tahoma"/>
            <family val="2"/>
          </rPr>
          <t xml:space="preserve"> 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YEAR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K2" authorId="0" shapeId="0" xr:uid="{8FEC143E-FF67-4740-89C2-47011E120CF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성명을</t>
        </r>
        <r>
          <rPr>
            <b/>
            <sz val="9"/>
            <color indexed="81"/>
            <rFont val="Tahoma"/>
            <family val="2"/>
          </rPr>
          <t xml:space="preserve"> [K3:K7]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INDEX, MATCH,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C3" authorId="0" shapeId="0" xr:uid="{6EB66895-8FA8-4CBA-9CBA-711200158B1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배열수식</t>
        </r>
        <r>
          <rPr>
            <b/>
            <sz val="9"/>
            <color indexed="81"/>
            <rFont val="Tahoma"/>
            <family val="2"/>
          </rPr>
          <t xml:space="preserve">
{=SUM(IF(B11:B29=B3,1))}
</t>
        </r>
        <r>
          <rPr>
            <sz val="9"/>
            <color indexed="81"/>
            <rFont val="Tahoma"/>
            <family val="2"/>
          </rPr>
          <t>IF(B11=B3,1,0), 
IF(B12=B3,1,0), …
IF(B29=B3,1,0)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수식까지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더한것이라고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</t>
        </r>
        <r>
          <rPr>
            <sz val="9"/>
            <color indexed="81"/>
            <rFont val="Tahoma"/>
            <family val="2"/>
          </rPr>
          <t xml:space="preserve">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D1" authorId="0" shapeId="0" xr:uid="{AE27D1F5-C73B-4F7F-8DCB-F14C95FF66B5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채용형태별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직접경비의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[C3:D4]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[B13:H25]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팀은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[B14:B25]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RIGHT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글자가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채용형태가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정규직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직접경비</t>
        </r>
      </text>
    </comment>
    <comment ref="F2" authorId="0" shapeId="0" xr:uid="{38A37CAC-CEE2-4EE5-9602-5C8DDBCF889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채용형태별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이거나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[G4:G5]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지역은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[B14:B25]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계산
</t>
        </r>
        <r>
          <rPr>
            <sz val="9"/>
            <color indexed="81"/>
            <rFont val="Tahoma"/>
            <family val="2"/>
          </rPr>
          <t>- SUM, LEFT,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채용형태가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계약직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정규직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이거나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"
  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2_1: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2_2: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D7" authorId="0" shapeId="0" xr:uid="{D108ED86-0E5F-46DC-A567-49F5EC471938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건수를</t>
        </r>
        <r>
          <rPr>
            <sz val="9"/>
            <color indexed="81"/>
            <rFont val="Tahoma"/>
            <family val="2"/>
          </rPr>
          <t xml:space="preserve"> [C8:D10]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지역은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>[B14:B15]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Tahoma"/>
            <family val="2"/>
          </rPr>
          <t>[H14:H25]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LEFT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 xml:space="preserve">"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E2" authorId="0" shapeId="0" xr:uid="{361761B4-6D70-48F9-8ABC-FDA9F2F97438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직급별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연구수당의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최대값을</t>
        </r>
        <r>
          <rPr>
            <sz val="9"/>
            <color indexed="81"/>
            <rFont val="Tahoma"/>
            <family val="2"/>
          </rPr>
          <t xml:space="preserve"> [C3:E6]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
-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[B17:H33]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MAX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학과가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비서학과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직급이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정교수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최대값을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연구수당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 xr:uid="{2615DAAB-BC40-40C1-AAFC-9776026F03C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직급별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학생수의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중간값을</t>
        </r>
        <r>
          <rPr>
            <sz val="9"/>
            <color indexed="81"/>
            <rFont val="Tahoma"/>
            <family val="2"/>
          </rPr>
          <t xml:space="preserve"> [H4:H6]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지도하는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학생지도</t>
        </r>
        <r>
          <rPr>
            <sz val="9"/>
            <color indexed="81"/>
            <rFont val="Tahoma"/>
            <family val="2"/>
          </rPr>
          <t xml:space="preserve">[E18:E33]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MEDIAN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직급이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정교수</t>
        </r>
        <r>
          <rPr>
            <sz val="9"/>
            <color indexed="81"/>
            <rFont val="Tahoma"/>
            <family val="2"/>
          </rPr>
          <t xml:space="preserve">'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 </t>
        </r>
        <r>
          <rPr>
            <sz val="9"/>
            <color indexed="81"/>
            <rFont val="돋움"/>
            <family val="3"/>
            <charset val="129"/>
          </rPr>
          <t>중간값을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학생지도</t>
        </r>
        <r>
          <rPr>
            <sz val="9"/>
            <color indexed="81"/>
            <rFont val="Tahoma"/>
            <family val="2"/>
          </rPr>
          <t xml:space="preserve">' 
</t>
        </r>
      </text>
    </comment>
    <comment ref="D9" authorId="0" shapeId="0" xr:uid="{062DA314-1D41-4CB2-8EF2-62D6FE1AF67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[B18:H33]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학과별로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연구과제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연구논문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성명을</t>
        </r>
        <r>
          <rPr>
            <sz val="9"/>
            <color indexed="81"/>
            <rFont val="Tahoma"/>
            <family val="2"/>
          </rPr>
          <t xml:space="preserve"> [C11:D14]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 xml:space="preserve"> 
- INDEX, MATCH,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궁극적으로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하므로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형태는</t>
        </r>
        <r>
          <rPr>
            <sz val="9"/>
            <color indexed="81"/>
            <rFont val="Tahoma"/>
            <family val="2"/>
          </rPr>
          <t xml:space="preserve"> (=INDEX( $B$18:$H$33, 7, 3)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해당영역의</t>
        </r>
        <r>
          <rPr>
            <sz val="9"/>
            <color indexed="81"/>
            <rFont val="Tahoma"/>
            <family val="2"/>
          </rPr>
          <t xml:space="preserve"> 7</t>
        </r>
        <r>
          <rPr>
            <sz val="9"/>
            <color indexed="81"/>
            <rFont val="돋움"/>
            <family val="3"/>
            <charset val="129"/>
          </rPr>
          <t>행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되야한다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>2: MATCH(</t>
        </r>
        <r>
          <rPr>
            <sz val="9"/>
            <color indexed="81"/>
            <rFont val="돋움"/>
            <family val="3"/>
            <charset val="129"/>
          </rPr>
          <t>비교척도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>), 0(=</t>
        </r>
        <r>
          <rPr>
            <sz val="9"/>
            <color indexed="81"/>
            <rFont val="돋움"/>
            <family val="3"/>
            <charset val="129"/>
          </rPr>
          <t>완전일치</t>
        </r>
        <r>
          <rPr>
            <sz val="9"/>
            <color indexed="81"/>
            <rFont val="Tahoma"/>
            <family val="2"/>
          </rPr>
          <t xml:space="preserve">)) </t>
        </r>
        <r>
          <rPr>
            <sz val="9"/>
            <color indexed="81"/>
            <rFont val="돋움"/>
            <family val="3"/>
            <charset val="129"/>
          </rPr>
          <t>함수로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책정한다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sharedStrings.xml><?xml version="1.0" encoding="utf-8"?>
<sst xmlns="http://schemas.openxmlformats.org/spreadsheetml/2006/main" count="224" uniqueCount="107">
  <si>
    <t>BD-002</t>
  </si>
  <si>
    <t>BD-003</t>
  </si>
  <si>
    <t>BD-004</t>
  </si>
  <si>
    <t>BD-010</t>
  </si>
  <si>
    <t>BD-015</t>
  </si>
  <si>
    <t>건물번호</t>
  </si>
  <si>
    <t>장수빌딩</t>
  </si>
  <si>
    <t>제주빌딩</t>
  </si>
  <si>
    <t>행복빌딩</t>
  </si>
  <si>
    <t>[표1]</t>
    <phoneticPr fontId="3" type="noConversion"/>
  </si>
  <si>
    <t>[표2]</t>
    <phoneticPr fontId="3" type="noConversion"/>
  </si>
  <si>
    <t>[표3]</t>
    <phoneticPr fontId="3" type="noConversion"/>
  </si>
  <si>
    <t>[표4]</t>
    <phoneticPr fontId="3" type="noConversion"/>
  </si>
  <si>
    <t>달성</t>
  </si>
  <si>
    <t>미달</t>
  </si>
  <si>
    <t>부서</t>
    <phoneticPr fontId="3" type="noConversion"/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</si>
  <si>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</si>
  <si>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</si>
  <si>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</si>
  <si>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</si>
  <si>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</si>
  <si>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학생지도 중간값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</si>
  <si>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</si>
  <si>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</si>
  <si>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</si>
  <si>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구분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</si>
  <si>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</si>
  <si>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</si>
  <si>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</si>
  <si>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</si>
  <si>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</si>
  <si>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</si>
  <si>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</si>
  <si>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</si>
  <si>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</si>
  <si>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</si>
  <si>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</si>
  <si>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</si>
  <si>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</si>
  <si>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</si>
  <si>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</si>
  <si>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</si>
  <si>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</si>
  <si>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</si>
  <si>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</si>
  <si>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</si>
  <si>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</si>
  <si>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</si>
  <si>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t>[표1]</t>
    <phoneticPr fontId="3" type="noConversion"/>
  </si>
  <si>
    <t>[표2]</t>
    <phoneticPr fontId="3" type="noConversion"/>
  </si>
  <si>
    <t>팀</t>
    <phoneticPr fontId="3" type="noConversion"/>
  </si>
  <si>
    <t>정규직</t>
    <phoneticPr fontId="3" type="noConversion"/>
  </si>
  <si>
    <t>계약직</t>
    <phoneticPr fontId="3" type="noConversion"/>
  </si>
  <si>
    <t>지역이 "과천"이거나 달성률 평가가 "달성"인 
실적의 합계</t>
    <phoneticPr fontId="3" type="noConversion"/>
  </si>
  <si>
    <t>1팀</t>
    <phoneticPr fontId="3" type="noConversion"/>
  </si>
  <si>
    <t>2팀</t>
    <phoneticPr fontId="3" type="noConversion"/>
  </si>
  <si>
    <t>[표3]</t>
    <phoneticPr fontId="3" type="noConversion"/>
  </si>
  <si>
    <t>지역</t>
    <phoneticPr fontId="3" type="noConversion"/>
  </si>
  <si>
    <t>달성</t>
    <phoneticPr fontId="3" type="noConversion"/>
  </si>
  <si>
    <t>미달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</si>
  <si>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</si>
  <si>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</si>
  <si>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</si>
  <si>
    <t>[표4]</t>
    <phoneticPr fontId="3" type="noConversion"/>
  </si>
  <si>
    <t>소속</t>
    <phoneticPr fontId="3" type="noConversion"/>
  </si>
  <si>
    <t>채용형태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</si>
  <si>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</si>
  <si>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</si>
  <si>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</si>
  <si>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</si>
  <si>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달성률 평가</t>
    <phoneticPr fontId="3" type="noConversion"/>
  </si>
  <si>
    <t>과천1팀</t>
    <phoneticPr fontId="3" type="noConversion"/>
  </si>
  <si>
    <t>과천2팀</t>
    <phoneticPr fontId="3" type="noConversion"/>
  </si>
  <si>
    <t>서울1팀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</si>
  <si>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</si>
  <si>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</si>
  <si>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</si>
  <si>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</si>
  <si>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t>건물번호</t>
    <phoneticPr fontId="3" type="noConversion"/>
  </si>
  <si>
    <t>임대건수</t>
    <phoneticPr fontId="3" type="noConversion"/>
  </si>
  <si>
    <t>계약면적
(㎡)</t>
    <phoneticPr fontId="3" type="noConversion"/>
  </si>
  <si>
    <t>김승진
계약면적</t>
    <phoneticPr fontId="3" type="noConversion"/>
  </si>
  <si>
    <t>평균
월임대료</t>
    <phoneticPr fontId="3" type="noConversion"/>
  </si>
  <si>
    <t>최대
임대가격</t>
    <phoneticPr fontId="3" type="noConversion"/>
  </si>
  <si>
    <t>2번째로 높은
임대가격</t>
    <phoneticPr fontId="3" type="noConversion"/>
  </si>
  <si>
    <t>월임대료
중간값</t>
    <phoneticPr fontId="3" type="noConversion"/>
  </si>
  <si>
    <t>2018년도
임대종료건수</t>
    <phoneticPr fontId="3" type="noConversion"/>
  </si>
  <si>
    <t>최대
임대인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</si>
  <si>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</si>
  <si>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건물이름</t>
    <phoneticPr fontId="3" type="noConversion"/>
  </si>
  <si>
    <t>임대인</t>
    <phoneticPr fontId="3" type="noConversion"/>
  </si>
  <si>
    <t>임대가격(천원)</t>
    <phoneticPr fontId="3" type="noConversion"/>
  </si>
  <si>
    <t>계약면적(㎡)</t>
    <phoneticPr fontId="3" type="noConversion"/>
  </si>
  <si>
    <t>월임대료(원)</t>
    <phoneticPr fontId="3" type="noConversion"/>
  </si>
  <si>
    <t>임대 종료일</t>
    <phoneticPr fontId="3" type="noConversion"/>
  </si>
  <si>
    <t>김승진</t>
    <phoneticPr fontId="3" type="noConversion"/>
  </si>
  <si>
    <t>미래빌딩</t>
    <phoneticPr fontId="3" type="noConversion"/>
  </si>
  <si>
    <t>우리빌딩</t>
    <phoneticPr fontId="3" type="noConversion"/>
  </si>
  <si>
    <t>신동협</t>
    <phoneticPr fontId="3" type="noConversion"/>
  </si>
  <si>
    <t>임꺽정</t>
    <phoneticPr fontId="3" type="noConversion"/>
  </si>
  <si>
    <t>장승업</t>
    <phoneticPr fontId="3" type="noConversion"/>
  </si>
  <si>
    <t>정약용</t>
    <phoneticPr fontId="3" type="noConversion"/>
  </si>
  <si>
    <t>한용운</t>
    <phoneticPr fontId="3" type="noConversion"/>
  </si>
  <si>
    <t>허중</t>
    <phoneticPr fontId="3" type="noConversion"/>
  </si>
  <si>
    <t>홍영식</t>
    <phoneticPr fontId="3" type="noConversion"/>
  </si>
  <si>
    <t>성춘향</t>
    <phoneticPr fontId="3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</si>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</sst>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"/>
    <numFmt numFmtId="177" formatCode="_-* #,##0.0_-;\-* #,##0.0_-;_-* &quot;-&quot;_-;_-@_-"/>
    <numFmt numFmtId="178" formatCode="0_ 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_ * #,##0.00_ ;_ * \-#,##0.00_ ;_ * &quot;-&quot;_ ;_ @_ "/>
    <numFmt numFmtId="183" formatCode="&quot;₩&quot;#,##0.00;&quot;₩&quot;\-#,##0.00"/>
  </numFmts>
  <fonts count="4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indexed="8"/>
      <name val="굴림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1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0" fontId="1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" fillId="0" borderId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4" borderId="0" applyNumberFormat="0" applyBorder="0" applyAlignment="0" applyProtection="0"/>
    <xf numFmtId="0" fontId="11" fillId="8" borderId="0" applyNumberFormat="0" applyBorder="0" applyAlignment="0" applyProtection="0"/>
    <xf numFmtId="0" fontId="11" fillId="15" borderId="0" applyNumberFormat="0" applyBorder="0" applyAlignment="0" applyProtection="0"/>
    <xf numFmtId="0" fontId="10" fillId="15" borderId="0" applyNumberFormat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16" borderId="0" applyNumberFormat="0" applyBorder="0" applyAlignment="0" applyProtection="0"/>
    <xf numFmtId="0" fontId="14" fillId="0" borderId="0"/>
    <xf numFmtId="0" fontId="12" fillId="0" borderId="0"/>
    <xf numFmtId="0" fontId="15" fillId="17" borderId="14" applyNumberFormat="0" applyAlignment="0" applyProtection="0"/>
    <xf numFmtId="0" fontId="16" fillId="10" borderId="15" applyNumberFormat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2" fontId="17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0" borderId="16" applyNumberFormat="0" applyAlignment="0" applyProtection="0">
      <alignment horizontal="left" vertical="center"/>
    </xf>
    <xf numFmtId="0" fontId="20" fillId="0" borderId="17">
      <alignment horizontal="left" vertical="center"/>
    </xf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14" applyNumberFormat="0" applyAlignment="0" applyProtection="0"/>
    <xf numFmtId="0" fontId="24" fillId="0" borderId="19" applyNumberFormat="0" applyFill="0" applyAlignment="0" applyProtection="0"/>
    <xf numFmtId="0" fontId="25" fillId="21" borderId="0" applyNumberFormat="0" applyBorder="0" applyAlignment="0" applyProtection="0"/>
    <xf numFmtId="0" fontId="17" fillId="0" borderId="0"/>
    <xf numFmtId="0" fontId="1" fillId="8" borderId="20" applyNumberFormat="0" applyFont="0" applyAlignment="0" applyProtection="0"/>
    <xf numFmtId="0" fontId="26" fillId="17" borderId="21" applyNumberFormat="0" applyAlignment="0" applyProtection="0"/>
    <xf numFmtId="10" fontId="17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17" fillId="0" borderId="22" applyNumberFormat="0" applyFont="0" applyFill="0" applyAlignment="0" applyProtection="0"/>
    <xf numFmtId="0" fontId="29" fillId="0" borderId="0" applyNumberFormat="0" applyFill="0" applyBorder="0" applyAlignment="0" applyProtection="0"/>
  </cellStyleXfs>
  <cellXfs count="57">
    <xf numFmtId="0" fontId="0" fillId="0" borderId="0" xfId="0">
      <alignment vertical="center"/>
    </xf>
    <xf numFmtId="0" fontId="31" fillId="0" borderId="0" xfId="5" applyFont="1">
      <alignment vertical="center"/>
    </xf>
    <xf numFmtId="0" fontId="31" fillId="0" borderId="1" xfId="5" applyFont="1" applyBorder="1" applyAlignment="1">
      <alignment horizontal="center" vertical="center"/>
    </xf>
    <xf numFmtId="0" fontId="31" fillId="3" borderId="1" xfId="5" applyFont="1" applyFill="1" applyBorder="1" applyAlignment="1">
      <alignment horizontal="center" vertical="center"/>
    </xf>
    <xf numFmtId="41" fontId="31" fillId="0" borderId="1" xfId="2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1" fillId="0" borderId="0" xfId="5" applyFont="1" applyBorder="1" applyAlignment="1">
      <alignment horizontal="center" vertical="center"/>
    </xf>
    <xf numFmtId="0" fontId="31" fillId="0" borderId="1" xfId="5" applyFont="1" applyFill="1" applyBorder="1" applyAlignment="1">
      <alignment horizontal="center" vertical="center"/>
    </xf>
    <xf numFmtId="0" fontId="31" fillId="0" borderId="0" xfId="1" applyFont="1" applyAlignment="1">
      <alignment vertical="center"/>
    </xf>
    <xf numFmtId="0" fontId="33" fillId="0" borderId="0" xfId="1" applyFont="1"/>
    <xf numFmtId="0" fontId="33" fillId="0" borderId="0" xfId="1" applyFont="1" applyAlignment="1">
      <alignment vertical="center"/>
    </xf>
    <xf numFmtId="0" fontId="34" fillId="0" borderId="10" xfId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41" fontId="31" fillId="0" borderId="1" xfId="2" applyFont="1" applyBorder="1" applyAlignment="1">
      <alignment vertical="center"/>
    </xf>
    <xf numFmtId="0" fontId="32" fillId="0" borderId="0" xfId="1" applyFont="1" applyAlignment="1">
      <alignment horizontal="justify"/>
    </xf>
    <xf numFmtId="41" fontId="31" fillId="0" borderId="1" xfId="2" applyFont="1" applyFill="1" applyBorder="1" applyAlignment="1">
      <alignment horizontal="center" vertical="center" wrapText="1"/>
    </xf>
    <xf numFmtId="41" fontId="33" fillId="0" borderId="0" xfId="1" applyNumberFormat="1" applyFont="1" applyAlignment="1">
      <alignment vertical="center"/>
    </xf>
    <xf numFmtId="0" fontId="34" fillId="0" borderId="2" xfId="1" applyFont="1" applyBorder="1" applyAlignment="1">
      <alignment horizontal="center" vertical="center"/>
    </xf>
    <xf numFmtId="0" fontId="34" fillId="0" borderId="3" xfId="1" applyFont="1" applyBorder="1" applyAlignment="1">
      <alignment horizontal="center" vertical="center"/>
    </xf>
    <xf numFmtId="0" fontId="34" fillId="0" borderId="4" xfId="1" applyFont="1" applyFill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41" fontId="31" fillId="0" borderId="6" xfId="2" applyFont="1" applyBorder="1" applyAlignment="1">
      <alignment horizontal="center" vertical="center"/>
    </xf>
    <xf numFmtId="178" fontId="31" fillId="0" borderId="7" xfId="2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1" fillId="0" borderId="11" xfId="1" applyFont="1" applyBorder="1" applyAlignment="1">
      <alignment horizontal="center" vertical="center"/>
    </xf>
    <xf numFmtId="0" fontId="31" fillId="0" borderId="12" xfId="1" applyFont="1" applyBorder="1" applyAlignment="1">
      <alignment horizontal="center" vertical="center"/>
    </xf>
    <xf numFmtId="41" fontId="31" fillId="0" borderId="12" xfId="2" applyFont="1" applyBorder="1" applyAlignment="1">
      <alignment horizontal="center" vertical="center"/>
    </xf>
    <xf numFmtId="178" fontId="31" fillId="0" borderId="13" xfId="2" applyNumberFormat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 wrapText="1"/>
    </xf>
    <xf numFmtId="176" fontId="31" fillId="0" borderId="1" xfId="1" applyNumberFormat="1" applyFont="1" applyBorder="1" applyAlignment="1">
      <alignment vertical="center"/>
    </xf>
    <xf numFmtId="41" fontId="31" fillId="0" borderId="1" xfId="2" applyNumberFormat="1" applyFont="1" applyBorder="1" applyAlignment="1">
      <alignment vertical="center"/>
    </xf>
    <xf numFmtId="0" fontId="32" fillId="0" borderId="0" xfId="1" applyFont="1" applyAlignment="1">
      <alignment horizontal="justify" vertical="center"/>
    </xf>
    <xf numFmtId="0" fontId="35" fillId="0" borderId="2" xfId="3" applyFont="1" applyFill="1" applyBorder="1" applyAlignment="1">
      <alignment horizontal="center" vertical="center"/>
    </xf>
    <xf numFmtId="0" fontId="35" fillId="0" borderId="3" xfId="3" applyFont="1" applyFill="1" applyBorder="1" applyAlignment="1">
      <alignment horizontal="center" vertical="center"/>
    </xf>
    <xf numFmtId="0" fontId="35" fillId="0" borderId="3" xfId="4" applyFont="1" applyFill="1" applyBorder="1" applyAlignment="1">
      <alignment horizontal="center" vertical="center"/>
    </xf>
    <xf numFmtId="41" fontId="35" fillId="0" borderId="3" xfId="2" applyFont="1" applyFill="1" applyBorder="1" applyAlignment="1">
      <alignment horizontal="center" vertical="center"/>
    </xf>
    <xf numFmtId="0" fontId="35" fillId="0" borderId="4" xfId="4" applyFont="1" applyFill="1" applyBorder="1" applyAlignment="1">
      <alignment horizontal="center" vertical="center"/>
    </xf>
    <xf numFmtId="0" fontId="36" fillId="0" borderId="5" xfId="3" applyFont="1" applyFill="1" applyBorder="1" applyAlignment="1">
      <alignment horizontal="center" vertical="center"/>
    </xf>
    <xf numFmtId="0" fontId="36" fillId="0" borderId="6" xfId="3" applyFont="1" applyFill="1" applyBorder="1" applyAlignment="1">
      <alignment horizontal="center" vertical="center"/>
    </xf>
    <xf numFmtId="41" fontId="36" fillId="0" borderId="6" xfId="2" applyFont="1" applyFill="1" applyBorder="1" applyAlignment="1">
      <alignment horizontal="right" vertical="center"/>
    </xf>
    <xf numFmtId="177" fontId="36" fillId="0" borderId="6" xfId="2" applyNumberFormat="1" applyFont="1" applyFill="1" applyBorder="1" applyAlignment="1">
      <alignment horizontal="right" vertical="center"/>
    </xf>
    <xf numFmtId="14" fontId="36" fillId="0" borderId="7" xfId="4" applyNumberFormat="1" applyFont="1" applyFill="1" applyBorder="1" applyAlignment="1">
      <alignment horizontal="center" vertical="center" wrapText="1"/>
    </xf>
    <xf numFmtId="0" fontId="36" fillId="0" borderId="8" xfId="3" applyFont="1" applyFill="1" applyBorder="1" applyAlignment="1">
      <alignment horizontal="center" vertical="center"/>
    </xf>
    <xf numFmtId="0" fontId="36" fillId="0" borderId="1" xfId="3" applyFont="1" applyFill="1" applyBorder="1" applyAlignment="1">
      <alignment horizontal="center" vertical="center"/>
    </xf>
    <xf numFmtId="41" fontId="36" fillId="0" borderId="1" xfId="2" applyFont="1" applyFill="1" applyBorder="1" applyAlignment="1">
      <alignment horizontal="right" vertical="center"/>
    </xf>
    <xf numFmtId="177" fontId="36" fillId="0" borderId="1" xfId="2" applyNumberFormat="1" applyFont="1" applyFill="1" applyBorder="1" applyAlignment="1">
      <alignment horizontal="right" vertical="center"/>
    </xf>
    <xf numFmtId="14" fontId="36" fillId="0" borderId="9" xfId="4" applyNumberFormat="1" applyFont="1" applyFill="1" applyBorder="1" applyAlignment="1">
      <alignment horizontal="center" vertical="center" wrapText="1"/>
    </xf>
    <xf numFmtId="0" fontId="33" fillId="0" borderId="0" xfId="1" applyNumberFormat="1" applyFont="1" applyAlignment="1">
      <alignment vertical="center"/>
    </xf>
    <xf numFmtId="41" fontId="33" fillId="0" borderId="0" xfId="1" applyNumberFormat="1" applyFont="1"/>
    <xf numFmtId="0" fontId="31" fillId="0" borderId="1" xfId="1" applyNumberFormat="1" applyFont="1" applyBorder="1" applyAlignment="1">
      <alignment vertical="center"/>
    </xf>
    <xf numFmtId="41" fontId="31" fillId="0" borderId="0" xfId="2" applyNumberFormat="1" applyFont="1" applyBorder="1" applyAlignment="1">
      <alignment vertical="center"/>
    </xf>
    <xf numFmtId="0" fontId="34" fillId="2" borderId="1" xfId="1" applyFont="1" applyFill="1" applyBorder="1" applyAlignment="1">
      <alignment horizontal="left" vertical="center" wrapText="1"/>
    </xf>
    <xf numFmtId="0" fontId="34" fillId="2" borderId="1" xfId="1" applyFont="1" applyFill="1" applyBorder="1" applyAlignment="1">
      <alignment horizontal="left" vertical="center"/>
    </xf>
  </cellXfs>
  <cellStyles count="81">
    <cellStyle name="A¨­￠￢￠O [0]_INQUIRY ￠?￥i¨u¡AAⓒ￢Aⓒª " xfId="14" xr:uid="{00000000-0005-0000-0000-000000000000}"/>
    <cellStyle name="A¨­￠￢￠O_INQUIRY ￠?￥i¨u¡AAⓒ￢Aⓒª " xfId="15" xr:uid="{00000000-0005-0000-0000-000001000000}"/>
    <cellStyle name="Accent1" xfId="16" xr:uid="{00000000-0005-0000-0000-000002000000}"/>
    <cellStyle name="Accent1 - 20%" xfId="17" xr:uid="{00000000-0005-0000-0000-000003000000}"/>
    <cellStyle name="Accent1 - 40%" xfId="18" xr:uid="{00000000-0005-0000-0000-000004000000}"/>
    <cellStyle name="Accent1 - 60%" xfId="19" xr:uid="{00000000-0005-0000-0000-000005000000}"/>
    <cellStyle name="Accent2" xfId="20" xr:uid="{00000000-0005-0000-0000-000006000000}"/>
    <cellStyle name="Accent2 - 20%" xfId="21" xr:uid="{00000000-0005-0000-0000-000007000000}"/>
    <cellStyle name="Accent2 - 40%" xfId="22" xr:uid="{00000000-0005-0000-0000-000008000000}"/>
    <cellStyle name="Accent2 - 60%" xfId="23" xr:uid="{00000000-0005-0000-0000-000009000000}"/>
    <cellStyle name="Accent3" xfId="24" xr:uid="{00000000-0005-0000-0000-00000A000000}"/>
    <cellStyle name="Accent3 - 20%" xfId="25" xr:uid="{00000000-0005-0000-0000-00000B000000}"/>
    <cellStyle name="Accent3 - 40%" xfId="26" xr:uid="{00000000-0005-0000-0000-00000C000000}"/>
    <cellStyle name="Accent3 - 60%" xfId="27" xr:uid="{00000000-0005-0000-0000-00000D000000}"/>
    <cellStyle name="Accent4" xfId="28" xr:uid="{00000000-0005-0000-0000-00000E000000}"/>
    <cellStyle name="Accent4 - 20%" xfId="29" xr:uid="{00000000-0005-0000-0000-00000F000000}"/>
    <cellStyle name="Accent4 - 40%" xfId="30" xr:uid="{00000000-0005-0000-0000-000010000000}"/>
    <cellStyle name="Accent4 - 60%" xfId="31" xr:uid="{00000000-0005-0000-0000-000011000000}"/>
    <cellStyle name="Accent5" xfId="32" xr:uid="{00000000-0005-0000-0000-000012000000}"/>
    <cellStyle name="Accent5 - 20%" xfId="33" xr:uid="{00000000-0005-0000-0000-000013000000}"/>
    <cellStyle name="Accent5 - 40%" xfId="34" xr:uid="{00000000-0005-0000-0000-000014000000}"/>
    <cellStyle name="Accent5 - 60%" xfId="35" xr:uid="{00000000-0005-0000-0000-000015000000}"/>
    <cellStyle name="Accent6" xfId="36" xr:uid="{00000000-0005-0000-0000-000016000000}"/>
    <cellStyle name="Accent6 - 20%" xfId="37" xr:uid="{00000000-0005-0000-0000-000017000000}"/>
    <cellStyle name="Accent6 - 40%" xfId="38" xr:uid="{00000000-0005-0000-0000-000018000000}"/>
    <cellStyle name="Accent6 - 60%" xfId="39" xr:uid="{00000000-0005-0000-0000-000019000000}"/>
    <cellStyle name="AeE­ [0]_AMT " xfId="40" xr:uid="{00000000-0005-0000-0000-00001A000000}"/>
    <cellStyle name="AeE­_AMT " xfId="41" xr:uid="{00000000-0005-0000-0000-00001B000000}"/>
    <cellStyle name="AeE¡ⓒ [0]_INQUIRY ￠?￥i¨u¡AAⓒ￢Aⓒª " xfId="42" xr:uid="{00000000-0005-0000-0000-00001C000000}"/>
    <cellStyle name="AeE¡ⓒ_INQUIRY ￠?￥i¨u¡AAⓒ￢Aⓒª " xfId="43" xr:uid="{00000000-0005-0000-0000-00001D000000}"/>
    <cellStyle name="AÞ¸¶ [0]_AN°y(1.25) " xfId="44" xr:uid="{00000000-0005-0000-0000-00001E000000}"/>
    <cellStyle name="AÞ¸¶_AN°y(1.25) " xfId="45" xr:uid="{00000000-0005-0000-0000-00001F000000}"/>
    <cellStyle name="Bad" xfId="46" xr:uid="{00000000-0005-0000-0000-000020000000}"/>
    <cellStyle name="C¡IA¨ª_¡ic¨u¡A¨￢I¨￢¡Æ AN¡Æe " xfId="47" xr:uid="{00000000-0005-0000-0000-000021000000}"/>
    <cellStyle name="C￥AØ_¿μ¾÷CoE² " xfId="48" xr:uid="{00000000-0005-0000-0000-000022000000}"/>
    <cellStyle name="Calculation" xfId="49" xr:uid="{00000000-0005-0000-0000-000023000000}"/>
    <cellStyle name="Check Cell" xfId="50" xr:uid="{00000000-0005-0000-0000-000024000000}"/>
    <cellStyle name="Comma [0]_ SG&amp;A Bridge " xfId="51" xr:uid="{00000000-0005-0000-0000-000025000000}"/>
    <cellStyle name="Comma_ SG&amp;A Bridge " xfId="52" xr:uid="{00000000-0005-0000-0000-000026000000}"/>
    <cellStyle name="Comma0" xfId="53" xr:uid="{00000000-0005-0000-0000-000027000000}"/>
    <cellStyle name="Curren?_x0012_퐀_x0017_?" xfId="54" xr:uid="{00000000-0005-0000-0000-000028000000}"/>
    <cellStyle name="Currency [0]_ SG&amp;A Bridge " xfId="55" xr:uid="{00000000-0005-0000-0000-000029000000}"/>
    <cellStyle name="Currency_ SG&amp;A Bridge " xfId="56" xr:uid="{00000000-0005-0000-0000-00002A000000}"/>
    <cellStyle name="Currency0" xfId="57" xr:uid="{00000000-0005-0000-0000-00002B000000}"/>
    <cellStyle name="Date" xfId="58" xr:uid="{00000000-0005-0000-0000-00002C000000}"/>
    <cellStyle name="Emphasis 1" xfId="59" xr:uid="{00000000-0005-0000-0000-00002D000000}"/>
    <cellStyle name="Emphasis 2" xfId="60" xr:uid="{00000000-0005-0000-0000-00002E000000}"/>
    <cellStyle name="Emphasis 3" xfId="61" xr:uid="{00000000-0005-0000-0000-00002F000000}"/>
    <cellStyle name="Fixed" xfId="62" xr:uid="{00000000-0005-0000-0000-000030000000}"/>
    <cellStyle name="Good" xfId="63" xr:uid="{00000000-0005-0000-0000-000031000000}"/>
    <cellStyle name="Header1" xfId="64" xr:uid="{00000000-0005-0000-0000-000032000000}"/>
    <cellStyle name="Header2" xfId="65" xr:uid="{00000000-0005-0000-0000-000033000000}"/>
    <cellStyle name="Heading 1" xfId="66" xr:uid="{00000000-0005-0000-0000-000034000000}"/>
    <cellStyle name="Heading 2" xfId="67" xr:uid="{00000000-0005-0000-0000-000035000000}"/>
    <cellStyle name="Heading 3" xfId="68" xr:uid="{00000000-0005-0000-0000-000036000000}"/>
    <cellStyle name="Heading 4" xfId="69" xr:uid="{00000000-0005-0000-0000-000037000000}"/>
    <cellStyle name="Input" xfId="70" xr:uid="{00000000-0005-0000-0000-000038000000}"/>
    <cellStyle name="Linked Cell" xfId="71" xr:uid="{00000000-0005-0000-0000-000039000000}"/>
    <cellStyle name="Neutral" xfId="72" xr:uid="{00000000-0005-0000-0000-00003A000000}"/>
    <cellStyle name="Normal_ SG&amp;A Bridge " xfId="73" xr:uid="{00000000-0005-0000-0000-00003B000000}"/>
    <cellStyle name="Note" xfId="74" xr:uid="{00000000-0005-0000-0000-00003C000000}"/>
    <cellStyle name="Output" xfId="75" xr:uid="{00000000-0005-0000-0000-00003D000000}"/>
    <cellStyle name="Percent [2]" xfId="76" xr:uid="{00000000-0005-0000-0000-00003E000000}"/>
    <cellStyle name="Sheet Title" xfId="77" xr:uid="{00000000-0005-0000-0000-00003F000000}"/>
    <cellStyle name="subhead" xfId="78" xr:uid="{00000000-0005-0000-0000-000040000000}"/>
    <cellStyle name="Total" xfId="79" xr:uid="{00000000-0005-0000-0000-000041000000}"/>
    <cellStyle name="Warning Text" xfId="80" xr:uid="{00000000-0005-0000-0000-000042000000}"/>
    <cellStyle name="똿뗦먛귟 [0.00]_PRODUCT DETAIL Q1" xfId="6" xr:uid="{00000000-0005-0000-0000-000043000000}"/>
    <cellStyle name="똿뗦먛귟_PRODUCT DETAIL Q1" xfId="7" xr:uid="{00000000-0005-0000-0000-000044000000}"/>
    <cellStyle name="믅됞 [0.00]_PRODUCT DETAIL Q1" xfId="8" xr:uid="{00000000-0005-0000-0000-000045000000}"/>
    <cellStyle name="믅됞_PRODUCT DETAIL Q1" xfId="9" xr:uid="{00000000-0005-0000-0000-000046000000}"/>
    <cellStyle name="뷭?_BOOKSHIP" xfId="10" xr:uid="{00000000-0005-0000-0000-000047000000}"/>
    <cellStyle name="쉼표 [0] 2" xfId="2" xr:uid="{00000000-0005-0000-0000-000048000000}"/>
    <cellStyle name="스타일 1" xfId="11" xr:uid="{00000000-0005-0000-0000-000049000000}"/>
    <cellStyle name="콤마 [0]_ 견적기준 FLOW " xfId="12" xr:uid="{00000000-0005-0000-0000-00004A000000}"/>
    <cellStyle name="콤마_ 견적기준 FLOW " xfId="13" xr:uid="{00000000-0005-0000-0000-00004B000000}"/>
    <cellStyle name="표준" xfId="0" builtinId="0"/>
    <cellStyle name="표준 2" xfId="1" xr:uid="{00000000-0005-0000-0000-00004D000000}"/>
    <cellStyle name="표준_1급 B형(정답)" xfId="5" xr:uid="{00000000-0005-0000-0000-00004E000000}"/>
    <cellStyle name="표준_Sheet3_섹션08문제" xfId="4" xr:uid="{00000000-0005-0000-0000-00004F000000}"/>
    <cellStyle name="표준_건물임대" xfId="3" xr:uid="{00000000-0005-0000-0000-00005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B1:L33"/>
  <sheetViews>
    <sheetView topLeftCell="A7" workbookViewId="0">
      <selection activeCell="F4" sqref="F4"/>
    </sheetView>
  </sheetViews>
  <sheetFormatPr defaultRowHeight="16.5"/>
  <cols>
    <col min="1" max="1" width="2" style="11" customWidth="1"/>
    <col min="2" max="2" width="8.5" style="11" bestFit="1" customWidth="1"/>
    <col min="3" max="3" width="9.125" style="11" customWidth="1"/>
    <col min="4" max="4" width="8.5" style="11" bestFit="1" customWidth="1"/>
    <col min="5" max="5" width="13.875" style="11" bestFit="1" customWidth="1"/>
    <col min="6" max="6" width="11.75" style="11" bestFit="1" customWidth="1"/>
    <col min="7" max="7" width="14.125" style="11" bestFit="1" customWidth="1"/>
    <col min="8" max="8" width="11" style="11" bestFit="1" customWidth="1"/>
    <col min="9" max="9" width="9.625" style="11" customWidth="1"/>
    <col min="10" max="10" width="11.125" style="11" customWidth="1"/>
    <col min="11" max="11" width="6.75" style="11" bestFit="1" customWidth="1"/>
    <col min="12" max="16384" width="9" style="11"/>
  </cols>
  <sheetData>
    <row r="1" spans="2:12">
      <c r="B1" s="11" t="s">
        <v>77</v>
      </c>
    </row>
    <row r="2" spans="2:12" ht="26.25" customHeight="1">
      <c r="B2" s="14" t="s">
        <v>78</v>
      </c>
      <c r="C2" s="13" t="s">
        <v>79</v>
      </c>
      <c r="D2" s="32" t="s">
        <v>80</v>
      </c>
      <c r="E2" s="32" t="s">
        <v>81</v>
      </c>
      <c r="F2" s="32" t="s">
        <v>82</v>
      </c>
      <c r="G2" s="32" t="s">
        <v>83</v>
      </c>
      <c r="H2" s="32" t="s">
        <v>84</v>
      </c>
      <c r="I2" s="32" t="s">
        <v>85</v>
      </c>
      <c r="J2" s="32" t="s">
        <v>86</v>
      </c>
      <c r="K2" s="32" t="s">
        <v>87</v>
      </c>
    </row>
    <row r="3" spans="2:12" ht="13.5" customHeight="1">
      <c r="B3" s="27" t="s">
        <v>0</v>
      </c>
      <c r="C3" s="27">
        <f t="array" ref="C3">SUM(IF($B$11:$B$29=B3,1))</f>
        <v>5</v>
      </c>
      <c r="D3" s="53">
        <f t="array" ref="D3">SUM(($B$11:$B$29=B3) * $F$11:$F$29)</f>
        <v>491.8</v>
      </c>
      <c r="E3" s="33">
        <f t="array" ref="E3">SUM(IF(($B$11:$B$29=B3) * ($D$11:$D$29="김승진"), $F$11:$F$29))</f>
        <v>225.1</v>
      </c>
      <c r="F3" s="34">
        <f t="array" ref="F3">AVERAGE(IF($B$11:$B$29=B3, $G$11:$G$29))</f>
        <v>707000</v>
      </c>
      <c r="G3" s="15">
        <f t="array" ref="G3">MAX(($B$11:$B$29=B3) * $E$11:$E$29)</f>
        <v>80000</v>
      </c>
      <c r="H3" s="15">
        <f t="array" ref="H3">LARGE(IF($B$11:$B$29=B3, $E$11:$E$29), 2)</f>
        <v>65000</v>
      </c>
      <c r="I3" s="15">
        <f t="array" ref="I3">MEDIAN(IF($B$11:$B$29=B3, G11:G29))</f>
        <v>550000</v>
      </c>
      <c r="J3" s="27">
        <f t="array" ref="J3">SUM(($B$11:$B$29=B3) * (YEAR($H$11:$H$29)=2018))</f>
        <v>1</v>
      </c>
      <c r="K3" s="27" t="s">
        <v>106</v>
      </c>
      <c r="L3" s="35"/>
    </row>
    <row r="4" spans="2:12" ht="13.5" customHeight="1">
      <c r="B4" s="27" t="s">
        <v>1</v>
      </c>
      <c r="C4" s="27">
        <f t="array" ref="C4">SUM(IF($B$11:$B$29=B4,1))</f>
        <v>2</v>
      </c>
      <c r="D4" s="53">
        <f t="array" ref="D4">SUM(($B$11:$B$29=B4) * $F$11:$F$29)</f>
        <v>235</v>
      </c>
      <c r="E4" s="33">
        <f t="array" ref="E4">SUM(IF(($B$11:$B$29=B4) * ($D$11:$D$29="김승진"), $F$11:$F$29))</f>
        <v>150.5</v>
      </c>
      <c r="F4" s="34">
        <f t="array" ref="F4">AVERAGE(IF($B$11:$B$29=B4, $G$11:$G$29))</f>
        <v>775000</v>
      </c>
      <c r="G4" s="15">
        <f t="array" ref="G4">MAX(($B$11:$B$29=B4) * $E$11:$E$29)</f>
        <v>65000</v>
      </c>
      <c r="H4" s="15">
        <f t="array" ref="H4">LARGE(IF($B$11:$B$29=B4, $E$11:$E$29), 2)</f>
        <v>25000</v>
      </c>
      <c r="I4" s="15">
        <f t="array" ref="I4">MEDIAN(IF($B$11:$B$29=B4, G12:G30))</f>
        <v>1055000</v>
      </c>
      <c r="J4" s="27">
        <f t="array" ref="J4">SUM(($B$11:$B$29=B4) * (YEAR($H$11:$H$29)=2018))</f>
        <v>1</v>
      </c>
      <c r="K4" s="27" t="str">
        <f t="array" ref="K4">INDEX($B$11:$H$29, MATCH( MAX(($B$11:$B$29=B4) * $G$11:$G$29), ($B$11:$B$29=B4)*$G$11:$G$29,0), 3)</f>
        <v>김승진</v>
      </c>
      <c r="L4" s="35"/>
    </row>
    <row r="5" spans="2:12" ht="13.5" customHeight="1">
      <c r="B5" s="27" t="s">
        <v>2</v>
      </c>
      <c r="C5" s="27">
        <f t="array" ref="C5">SUM(IF($B$11:$B$29=B5,1))</f>
        <v>4</v>
      </c>
      <c r="D5" s="53">
        <f t="array" ref="D5">SUM(($B$11:$B$29=B5) * $F$11:$F$29)</f>
        <v>710.9</v>
      </c>
      <c r="E5" s="33">
        <f t="array" ref="E5">SUM(IF(($B$11:$B$29=B5) * ($D$11:$D$29="김승진"), $F$11:$F$29))</f>
        <v>398</v>
      </c>
      <c r="F5" s="34">
        <f t="array" ref="F5">AVERAGE(IF($B$11:$B$29=B5, $G$11:$G$29))</f>
        <v>947500</v>
      </c>
      <c r="G5" s="15">
        <f t="array" ref="G5">MAX(($B$11:$B$29=B5) * $E$11:$E$29)</f>
        <v>45000</v>
      </c>
      <c r="H5" s="15">
        <f t="array" ref="H5">LARGE(IF($B$11:$B$29=B5, $E$11:$E$29), 2)</f>
        <v>40000</v>
      </c>
      <c r="I5" s="15">
        <f t="array" ref="I5">MEDIAN(IF($B$11:$B$29=B5, G13:G31))</f>
        <v>447500</v>
      </c>
      <c r="J5" s="27">
        <f t="array" ref="J5">SUM(($B$11:$B$29=B5) * (YEAR($H$11:$H$29)=2018))</f>
        <v>0</v>
      </c>
      <c r="K5" s="27" t="str">
        <f t="array" ref="K5">INDEX($B$11:$H$29, MATCH( MAX(($B$11:$B$29=B5) * $G$11:$G$29), ($B$11:$B$29=B5)*$G$11:$G$29,0), 3)</f>
        <v>허중</v>
      </c>
      <c r="L5" s="35"/>
    </row>
    <row r="6" spans="2:12" ht="13.5" customHeight="1">
      <c r="B6" s="27" t="s">
        <v>3</v>
      </c>
      <c r="C6" s="27">
        <f t="array" ref="C6">SUM(IF($B$11:$B$29=B6,1))</f>
        <v>5</v>
      </c>
      <c r="D6" s="53">
        <f t="array" ref="D6">SUM(($B$11:$B$29=B6) * $F$11:$F$29)</f>
        <v>571</v>
      </c>
      <c r="E6" s="33">
        <f t="array" ref="E6">SUM(IF(($B$11:$B$29=B6) * ($D$11:$D$29="김승진"), $F$11:$F$29))</f>
        <v>101</v>
      </c>
      <c r="F6" s="34">
        <f t="array" ref="F6">AVERAGE(IF($B$11:$B$29=B6, $G$11:$G$29))</f>
        <v>576000</v>
      </c>
      <c r="G6" s="15">
        <f t="array" ref="G6">MAX(($B$11:$B$29=B6) * $E$11:$E$29)</f>
        <v>190000</v>
      </c>
      <c r="H6" s="15">
        <f t="array" ref="H6">LARGE(IF($B$11:$B$29=B6, $E$11:$E$29), 2)</f>
        <v>45000</v>
      </c>
      <c r="I6" s="15">
        <f t="array" ref="I6">MEDIAN(IF($B$11:$B$29=B6, G14:G32))</f>
        <v>400000</v>
      </c>
      <c r="J6" s="27">
        <f t="array" ref="J6">SUM(($B$11:$B$29=B6) * (YEAR($H$11:$H$29)=2018))</f>
        <v>4</v>
      </c>
      <c r="K6" s="27" t="str">
        <f t="array" ref="K6">INDEX($B$11:$H$29, MATCH( MAX(($B$11:$B$29=B6) * $G$11:$G$29), ($B$11:$B$29=B6)*$G$11:$G$29,0), 3)</f>
        <v>성춘향</v>
      </c>
      <c r="L6" s="35"/>
    </row>
    <row r="7" spans="2:12" ht="13.5" customHeight="1">
      <c r="B7" s="27" t="s">
        <v>4</v>
      </c>
      <c r="C7" s="27">
        <f t="array" ref="C7">SUM(IF($B$11:$B$29=B7,1))</f>
        <v>3</v>
      </c>
      <c r="D7" s="53">
        <f t="array" ref="D7">SUM(($B$11:$B$29=B7) * $F$11:$F$29)</f>
        <v>435</v>
      </c>
      <c r="E7" s="33">
        <f t="array" ref="E7">SUM(IF(($B$11:$B$29=B7) * ($D$11:$D$29="김승진"), $F$11:$F$29))</f>
        <v>268</v>
      </c>
      <c r="F7" s="34">
        <f t="array" ref="F7">AVERAGE(IF($B$11:$B$29=B7, $G$11:$G$29))</f>
        <v>513333.33333333331</v>
      </c>
      <c r="G7" s="15">
        <f t="array" ref="G7">MAX(($B$11:$B$29=B7) * $E$11:$E$29)</f>
        <v>30000</v>
      </c>
      <c r="H7" s="15">
        <f t="array" ref="H7">LARGE(IF($B$11:$B$29=B7, $E$11:$E$29), 2)</f>
        <v>25000</v>
      </c>
      <c r="I7" s="15">
        <f t="array" ref="I7">MEDIAN(IF($B$11:$B$29=B7, G15:G33))</f>
        <v>400000</v>
      </c>
      <c r="J7" s="27">
        <f t="array" ref="J7">SUM(($B$11:$B$29=B7) * (YEAR($H$11:$H$29)=2018))</f>
        <v>1</v>
      </c>
      <c r="K7" s="27" t="str">
        <f t="array" ref="K7">INDEX($B$11:$H$29, MATCH( MAX(($B$11:$B$29=B7) * $G$11:$G$29), ($B$11:$B$29=B7)*$G$11:$G$29,0), 3)</f>
        <v>김승진</v>
      </c>
      <c r="L7" s="35"/>
    </row>
    <row r="8" spans="2:12" ht="12" customHeight="1">
      <c r="F8" s="54"/>
    </row>
    <row r="9" spans="2:12" ht="15.75" customHeight="1" thickBot="1">
      <c r="B9" s="11" t="s">
        <v>88</v>
      </c>
    </row>
    <row r="10" spans="2:12" ht="14.25" customHeight="1" thickBot="1">
      <c r="B10" s="36" t="s">
        <v>5</v>
      </c>
      <c r="C10" s="37" t="s">
        <v>89</v>
      </c>
      <c r="D10" s="37" t="s">
        <v>90</v>
      </c>
      <c r="E10" s="38" t="s">
        <v>91</v>
      </c>
      <c r="F10" s="37" t="s">
        <v>92</v>
      </c>
      <c r="G10" s="39" t="s">
        <v>93</v>
      </c>
      <c r="H10" s="40" t="s">
        <v>94</v>
      </c>
    </row>
    <row r="11" spans="2:12" ht="14.25" customHeight="1">
      <c r="B11" s="41" t="s">
        <v>2</v>
      </c>
      <c r="C11" s="42" t="s">
        <v>6</v>
      </c>
      <c r="D11" s="42" t="s">
        <v>95</v>
      </c>
      <c r="E11" s="43">
        <v>25000</v>
      </c>
      <c r="F11" s="44">
        <v>398</v>
      </c>
      <c r="G11" s="43">
        <v>770000</v>
      </c>
      <c r="H11" s="45">
        <v>42239</v>
      </c>
    </row>
    <row r="12" spans="2:12" ht="14.25" customHeight="1">
      <c r="B12" s="46" t="s">
        <v>0</v>
      </c>
      <c r="C12" s="47" t="s">
        <v>7</v>
      </c>
      <c r="D12" s="47" t="s">
        <v>95</v>
      </c>
      <c r="E12" s="48">
        <v>80000</v>
      </c>
      <c r="F12" s="49">
        <v>107.6</v>
      </c>
      <c r="G12" s="48">
        <v>550000</v>
      </c>
      <c r="H12" s="50">
        <v>42298</v>
      </c>
    </row>
    <row r="13" spans="2:12" ht="14.25" customHeight="1">
      <c r="B13" s="46" t="s">
        <v>4</v>
      </c>
      <c r="C13" s="47" t="s">
        <v>96</v>
      </c>
      <c r="D13" s="47" t="s">
        <v>95</v>
      </c>
      <c r="E13" s="48">
        <v>30000</v>
      </c>
      <c r="F13" s="49">
        <v>134</v>
      </c>
      <c r="G13" s="48">
        <v>495000</v>
      </c>
      <c r="H13" s="50">
        <v>42369</v>
      </c>
    </row>
    <row r="14" spans="2:12" ht="14.25" customHeight="1">
      <c r="B14" s="46" t="s">
        <v>1</v>
      </c>
      <c r="C14" s="47" t="s">
        <v>97</v>
      </c>
      <c r="D14" s="47" t="s">
        <v>98</v>
      </c>
      <c r="E14" s="48">
        <v>25000</v>
      </c>
      <c r="F14" s="49">
        <v>84.5</v>
      </c>
      <c r="G14" s="48">
        <v>450000</v>
      </c>
      <c r="H14" s="50">
        <v>42552</v>
      </c>
    </row>
    <row r="15" spans="2:12" ht="14.25" customHeight="1">
      <c r="B15" s="46" t="s">
        <v>0</v>
      </c>
      <c r="C15" s="47" t="s">
        <v>7</v>
      </c>
      <c r="D15" s="47" t="s">
        <v>99</v>
      </c>
      <c r="E15" s="48">
        <v>10000</v>
      </c>
      <c r="F15" s="49">
        <v>101</v>
      </c>
      <c r="G15" s="48">
        <v>1650000</v>
      </c>
      <c r="H15" s="50">
        <v>42606</v>
      </c>
    </row>
    <row r="16" spans="2:12" ht="14.25" customHeight="1">
      <c r="B16" s="46" t="s">
        <v>2</v>
      </c>
      <c r="C16" s="47" t="s">
        <v>6</v>
      </c>
      <c r="D16" s="47" t="s">
        <v>100</v>
      </c>
      <c r="E16" s="48">
        <v>6000</v>
      </c>
      <c r="F16" s="49">
        <v>101</v>
      </c>
      <c r="G16" s="48">
        <v>770000</v>
      </c>
      <c r="H16" s="50">
        <v>42608</v>
      </c>
    </row>
    <row r="17" spans="2:8" ht="14.25" customHeight="1">
      <c r="B17" s="46" t="s">
        <v>4</v>
      </c>
      <c r="C17" s="47" t="s">
        <v>96</v>
      </c>
      <c r="D17" s="47" t="s">
        <v>101</v>
      </c>
      <c r="E17" s="48">
        <v>25000</v>
      </c>
      <c r="F17" s="49">
        <v>167</v>
      </c>
      <c r="G17" s="48">
        <v>495000</v>
      </c>
      <c r="H17" s="50">
        <v>42795</v>
      </c>
    </row>
    <row r="18" spans="2:8" ht="14.25" customHeight="1">
      <c r="B18" s="46" t="s">
        <v>3</v>
      </c>
      <c r="C18" s="47" t="s">
        <v>8</v>
      </c>
      <c r="D18" s="47" t="s">
        <v>99</v>
      </c>
      <c r="E18" s="48">
        <v>30000</v>
      </c>
      <c r="F18" s="49">
        <v>120.8</v>
      </c>
      <c r="G18" s="48">
        <v>550000</v>
      </c>
      <c r="H18" s="50">
        <v>42815</v>
      </c>
    </row>
    <row r="19" spans="2:8" ht="14.25" customHeight="1">
      <c r="B19" s="46" t="s">
        <v>2</v>
      </c>
      <c r="C19" s="47" t="s">
        <v>6</v>
      </c>
      <c r="D19" s="47" t="s">
        <v>102</v>
      </c>
      <c r="E19" s="48">
        <v>40000</v>
      </c>
      <c r="F19" s="49">
        <v>101</v>
      </c>
      <c r="G19" s="48">
        <v>1100000</v>
      </c>
      <c r="H19" s="50">
        <v>42969</v>
      </c>
    </row>
    <row r="20" spans="2:8" ht="14.25" customHeight="1">
      <c r="B20" s="46" t="s">
        <v>2</v>
      </c>
      <c r="C20" s="47" t="s">
        <v>6</v>
      </c>
      <c r="D20" s="47" t="s">
        <v>103</v>
      </c>
      <c r="E20" s="48">
        <v>45000</v>
      </c>
      <c r="F20" s="49">
        <v>110.9</v>
      </c>
      <c r="G20" s="48">
        <v>1150000</v>
      </c>
      <c r="H20" s="50">
        <v>42969</v>
      </c>
    </row>
    <row r="21" spans="2:8" ht="14.25" customHeight="1">
      <c r="B21" s="46" t="s">
        <v>0</v>
      </c>
      <c r="C21" s="47" t="s">
        <v>7</v>
      </c>
      <c r="D21" s="47" t="s">
        <v>95</v>
      </c>
      <c r="E21" s="48">
        <v>65000</v>
      </c>
      <c r="F21" s="49">
        <v>117.5</v>
      </c>
      <c r="G21" s="48">
        <v>400000</v>
      </c>
      <c r="H21" s="50">
        <v>42969</v>
      </c>
    </row>
    <row r="22" spans="2:8" ht="14.25" customHeight="1">
      <c r="B22" s="46" t="s">
        <v>0</v>
      </c>
      <c r="C22" s="47" t="s">
        <v>7</v>
      </c>
      <c r="D22" s="47" t="s">
        <v>104</v>
      </c>
      <c r="E22" s="48">
        <v>6000</v>
      </c>
      <c r="F22" s="49">
        <v>68</v>
      </c>
      <c r="G22" s="48">
        <v>165000</v>
      </c>
      <c r="H22" s="50">
        <v>42970</v>
      </c>
    </row>
    <row r="23" spans="2:8" ht="14.25" customHeight="1">
      <c r="B23" s="46" t="s">
        <v>0</v>
      </c>
      <c r="C23" s="47" t="s">
        <v>7</v>
      </c>
      <c r="D23" s="47" t="s">
        <v>99</v>
      </c>
      <c r="E23" s="48">
        <v>32000</v>
      </c>
      <c r="F23" s="49">
        <v>97.7</v>
      </c>
      <c r="G23" s="48">
        <v>770000</v>
      </c>
      <c r="H23" s="50">
        <v>43213</v>
      </c>
    </row>
    <row r="24" spans="2:8" ht="14.25" customHeight="1">
      <c r="B24" s="46" t="s">
        <v>3</v>
      </c>
      <c r="C24" s="47" t="s">
        <v>8</v>
      </c>
      <c r="D24" s="47" t="s">
        <v>105</v>
      </c>
      <c r="E24" s="48">
        <v>45000</v>
      </c>
      <c r="F24" s="49">
        <v>91.1</v>
      </c>
      <c r="G24" s="48">
        <v>770000</v>
      </c>
      <c r="H24" s="50">
        <v>43213</v>
      </c>
    </row>
    <row r="25" spans="2:8" ht="14.25" customHeight="1">
      <c r="B25" s="46" t="s">
        <v>1</v>
      </c>
      <c r="C25" s="47" t="s">
        <v>97</v>
      </c>
      <c r="D25" s="47" t="s">
        <v>95</v>
      </c>
      <c r="E25" s="48">
        <v>65000</v>
      </c>
      <c r="F25" s="49">
        <v>150.5</v>
      </c>
      <c r="G25" s="48">
        <v>1100000</v>
      </c>
      <c r="H25" s="50">
        <v>43213</v>
      </c>
    </row>
    <row r="26" spans="2:8" ht="14.25" customHeight="1">
      <c r="B26" s="46" t="s">
        <v>3</v>
      </c>
      <c r="C26" s="47" t="s">
        <v>8</v>
      </c>
      <c r="D26" s="47" t="s">
        <v>95</v>
      </c>
      <c r="E26" s="48">
        <v>10000</v>
      </c>
      <c r="F26" s="49">
        <v>101</v>
      </c>
      <c r="G26" s="48">
        <v>460000</v>
      </c>
      <c r="H26" s="50">
        <v>43233</v>
      </c>
    </row>
    <row r="27" spans="2:8" ht="14.25" customHeight="1">
      <c r="B27" s="46" t="s">
        <v>4</v>
      </c>
      <c r="C27" s="47" t="s">
        <v>96</v>
      </c>
      <c r="D27" s="47" t="s">
        <v>95</v>
      </c>
      <c r="E27" s="48">
        <v>5000</v>
      </c>
      <c r="F27" s="49">
        <v>134</v>
      </c>
      <c r="G27" s="48">
        <v>550000</v>
      </c>
      <c r="H27" s="50">
        <v>43335</v>
      </c>
    </row>
    <row r="28" spans="2:8" ht="14.25" customHeight="1">
      <c r="B28" s="46" t="s">
        <v>3</v>
      </c>
      <c r="C28" s="47" t="s">
        <v>8</v>
      </c>
      <c r="D28" s="47" t="s">
        <v>103</v>
      </c>
      <c r="E28" s="48">
        <v>190000</v>
      </c>
      <c r="F28" s="49">
        <v>150.5</v>
      </c>
      <c r="G28" s="48">
        <v>550000</v>
      </c>
      <c r="H28" s="50">
        <v>43394</v>
      </c>
    </row>
    <row r="29" spans="2:8" ht="14.25" customHeight="1">
      <c r="B29" s="46" t="s">
        <v>3</v>
      </c>
      <c r="C29" s="47" t="s">
        <v>8</v>
      </c>
      <c r="D29" s="47" t="s">
        <v>103</v>
      </c>
      <c r="E29" s="48">
        <v>30000</v>
      </c>
      <c r="F29" s="49">
        <v>107.6</v>
      </c>
      <c r="G29" s="48">
        <v>550000</v>
      </c>
      <c r="H29" s="50">
        <v>43394</v>
      </c>
    </row>
    <row r="30" spans="2:8">
      <c r="H30" s="51"/>
    </row>
    <row r="33" spans="4:4">
      <c r="D33" s="18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J31"/>
  <sheetViews>
    <sheetView topLeftCell="A10" workbookViewId="0">
      <selection activeCell="J9" sqref="J9"/>
    </sheetView>
  </sheetViews>
  <sheetFormatPr defaultRowHeight="16.5"/>
  <cols>
    <col min="1" max="1" width="1.5" style="10" customWidth="1"/>
    <col min="2" max="2" width="9" style="10"/>
    <col min="3" max="3" width="10.5" style="10" bestFit="1" customWidth="1"/>
    <col min="4" max="4" width="10.75" style="10" bestFit="1" customWidth="1"/>
    <col min="5" max="5" width="11.5" style="10" bestFit="1" customWidth="1"/>
    <col min="6" max="6" width="18.875" style="10" customWidth="1"/>
    <col min="7" max="7" width="16.75" style="10" customWidth="1"/>
    <col min="8" max="8" width="10.875" style="10" bestFit="1" customWidth="1"/>
    <col min="9" max="9" width="14.5" style="10" customWidth="1"/>
    <col min="10" max="10" width="13.375" style="10" customWidth="1"/>
    <col min="11" max="11" width="10.75" style="10" bestFit="1" customWidth="1"/>
    <col min="12" max="16384" width="9" style="10"/>
  </cols>
  <sheetData>
    <row r="1" spans="2:10">
      <c r="B1" s="9" t="s">
        <v>48</v>
      </c>
      <c r="D1" s="9"/>
      <c r="E1" s="11"/>
      <c r="F1" s="9" t="s">
        <v>49</v>
      </c>
      <c r="G1" s="11"/>
    </row>
    <row r="2" spans="2:10" ht="16.5" customHeight="1">
      <c r="B2" s="12" t="s">
        <v>50</v>
      </c>
      <c r="C2" s="13" t="s">
        <v>51</v>
      </c>
      <c r="D2" s="13" t="s">
        <v>52</v>
      </c>
      <c r="F2" s="55" t="s">
        <v>53</v>
      </c>
      <c r="G2" s="56"/>
    </row>
    <row r="3" spans="2:10">
      <c r="B3" s="14" t="s">
        <v>54</v>
      </c>
      <c r="C3" s="15">
        <f t="array" ref="C3">SUM((RIGHT($B$14:$B$25,2)=$B3) * ($C$14:$C$25=C$2) * $F$14:$F$25)</f>
        <v>10038000</v>
      </c>
      <c r="D3" s="15">
        <f t="array" ref="D3">SUM((RIGHT($B$14:$B$25,2)=$B3) * ($C$14:$C$25=D$2) * $F$14:$F$25)</f>
        <v>5410000</v>
      </c>
      <c r="E3" s="16"/>
      <c r="F3" s="56"/>
      <c r="G3" s="56"/>
    </row>
    <row r="4" spans="2:10">
      <c r="B4" s="14" t="s">
        <v>55</v>
      </c>
      <c r="C4" s="15">
        <f t="array" ref="C4">SUM((RIGHT($B$14:$B$25,2)=$B4) * ($C$14:$C$25=C$2) * $F$14:$F$25)</f>
        <v>21739000</v>
      </c>
      <c r="D4" s="15">
        <f t="array" ref="D4">SUM((RIGHT($B$14:$B$25,2)=$B4) * ($C$14:$C$25=D$2) * $F$14:$F$25)</f>
        <v>16733000</v>
      </c>
      <c r="F4" s="14" t="s">
        <v>52</v>
      </c>
      <c r="G4" s="17">
        <f t="array" ref="G4">SUM( IF( ($C$14:$C$25 =F4) * ( (LEFT($B$14:$B$25,2) = "과천") + (H14:H25="달성") ), $E$14:$E$25 ) )</f>
        <v>650000000</v>
      </c>
    </row>
    <row r="5" spans="2:10">
      <c r="B5" s="11"/>
      <c r="D5" s="18"/>
      <c r="F5" s="14" t="s">
        <v>51</v>
      </c>
      <c r="G5" s="17">
        <f t="array" ref="G5">SUM( IF( ($C$14:$C$25 =F5) * ( (LEFT($B$14:$B$25,2) = "과천") + (H15:H26="달성") ), $E$14:$E$25 ) )</f>
        <v>780000000</v>
      </c>
    </row>
    <row r="6" spans="2:10">
      <c r="B6" s="9" t="s">
        <v>56</v>
      </c>
      <c r="C6" s="9"/>
      <c r="E6" s="11"/>
    </row>
    <row r="7" spans="2:10">
      <c r="B7" s="14" t="s">
        <v>57</v>
      </c>
      <c r="C7" s="13" t="s">
        <v>58</v>
      </c>
      <c r="D7" s="13" t="s">
        <v>59</v>
      </c>
    </row>
    <row r="8" spans="2:10">
      <c r="B8" s="14" t="s">
        <v>60</v>
      </c>
      <c r="C8" s="17">
        <f t="array" ref="C8">SUM( (LEFT($B$14:$B$25,2)=$B8) * ($H$14:$H$25 = C$7))</f>
        <v>3</v>
      </c>
      <c r="D8" s="17">
        <f t="array" ref="D8">SUM( (LEFT($B$14:$B$25,2)=$B8) * ($H$14:$H$25 = D$7))</f>
        <v>1</v>
      </c>
    </row>
    <row r="9" spans="2:10">
      <c r="B9" s="14" t="s">
        <v>61</v>
      </c>
      <c r="C9" s="17">
        <f t="array" ref="C9">SUM( (LEFT($B$14:$B$25,2)=$B9) * ($H$14:$H$25 = C$7))</f>
        <v>1</v>
      </c>
      <c r="D9" s="17">
        <f t="array" ref="D9">SUM( (LEFT($B$14:$B$25,2)=$B9) * ($H$14:$H$25 = D$7))</f>
        <v>3</v>
      </c>
    </row>
    <row r="10" spans="2:10">
      <c r="B10" s="14" t="s">
        <v>62</v>
      </c>
      <c r="C10" s="17">
        <f t="array" ref="C10">SUM( (LEFT($B$14:$B$25,2)=$B10) * ($H$14:$H$25 = C$7))</f>
        <v>2</v>
      </c>
      <c r="D10" s="17">
        <f t="array" ref="D10">SUM( (LEFT($B$14:$B$25,2)=$B10) * ($H$14:$H$25 = D$7))</f>
        <v>2</v>
      </c>
    </row>
    <row r="12" spans="2:10" ht="17.25" thickBot="1">
      <c r="B12" s="9" t="s">
        <v>63</v>
      </c>
      <c r="C12" s="11"/>
      <c r="D12" s="11"/>
      <c r="E12" s="18"/>
      <c r="F12" s="18"/>
      <c r="G12" s="11"/>
      <c r="H12" s="11"/>
      <c r="I12" s="9"/>
      <c r="J12" s="9"/>
    </row>
    <row r="13" spans="2:10" ht="17.25" thickBot="1">
      <c r="B13" s="19" t="s">
        <v>64</v>
      </c>
      <c r="C13" s="20" t="s">
        <v>65</v>
      </c>
      <c r="D13" s="20" t="s">
        <v>66</v>
      </c>
      <c r="E13" s="20" t="s">
        <v>67</v>
      </c>
      <c r="F13" s="20" t="s">
        <v>68</v>
      </c>
      <c r="G13" s="20" t="s">
        <v>69</v>
      </c>
      <c r="H13" s="21" t="s">
        <v>70</v>
      </c>
    </row>
    <row r="14" spans="2:10">
      <c r="B14" s="22" t="s">
        <v>71</v>
      </c>
      <c r="C14" s="23" t="s">
        <v>52</v>
      </c>
      <c r="D14" s="24">
        <v>100000000</v>
      </c>
      <c r="E14" s="24">
        <v>150000000</v>
      </c>
      <c r="F14" s="24">
        <v>2210000</v>
      </c>
      <c r="G14" s="24">
        <v>1800000</v>
      </c>
      <c r="H14" s="25" t="s">
        <v>58</v>
      </c>
    </row>
    <row r="15" spans="2:10">
      <c r="B15" s="26" t="s">
        <v>71</v>
      </c>
      <c r="C15" s="27" t="s">
        <v>51</v>
      </c>
      <c r="D15" s="4">
        <v>130000000</v>
      </c>
      <c r="E15" s="4">
        <v>130000000</v>
      </c>
      <c r="F15" s="4">
        <v>3113000</v>
      </c>
      <c r="G15" s="4">
        <v>2300000</v>
      </c>
      <c r="H15" s="25" t="s">
        <v>13</v>
      </c>
    </row>
    <row r="16" spans="2:10">
      <c r="B16" s="26" t="s">
        <v>72</v>
      </c>
      <c r="C16" s="27" t="s">
        <v>52</v>
      </c>
      <c r="D16" s="4">
        <v>90000000</v>
      </c>
      <c r="E16" s="4">
        <v>110000000</v>
      </c>
      <c r="F16" s="4">
        <v>6816000</v>
      </c>
      <c r="G16" s="4">
        <v>4500000</v>
      </c>
      <c r="H16" s="25" t="s">
        <v>59</v>
      </c>
    </row>
    <row r="17" spans="2:8">
      <c r="B17" s="26" t="s">
        <v>72</v>
      </c>
      <c r="C17" s="27" t="s">
        <v>51</v>
      </c>
      <c r="D17" s="4">
        <v>110000000</v>
      </c>
      <c r="E17" s="4">
        <v>120000000</v>
      </c>
      <c r="F17" s="4">
        <v>7891000</v>
      </c>
      <c r="G17" s="4">
        <v>4000000</v>
      </c>
      <c r="H17" s="25" t="s">
        <v>13</v>
      </c>
    </row>
    <row r="18" spans="2:8">
      <c r="B18" s="26" t="s">
        <v>73</v>
      </c>
      <c r="C18" s="27" t="s">
        <v>52</v>
      </c>
      <c r="D18" s="4">
        <v>100000000</v>
      </c>
      <c r="E18" s="4">
        <v>110000000</v>
      </c>
      <c r="F18" s="4">
        <v>1200000</v>
      </c>
      <c r="G18" s="4">
        <v>540000</v>
      </c>
      <c r="H18" s="25" t="s">
        <v>13</v>
      </c>
    </row>
    <row r="19" spans="2:8">
      <c r="B19" s="26" t="s">
        <v>73</v>
      </c>
      <c r="C19" s="27" t="s">
        <v>51</v>
      </c>
      <c r="D19" s="4">
        <v>150000000</v>
      </c>
      <c r="E19" s="4">
        <v>140000000</v>
      </c>
      <c r="F19" s="4">
        <v>2800000</v>
      </c>
      <c r="G19" s="4">
        <v>920000</v>
      </c>
      <c r="H19" s="25" t="s">
        <v>14</v>
      </c>
    </row>
    <row r="20" spans="2:8">
      <c r="B20" s="26" t="s">
        <v>74</v>
      </c>
      <c r="C20" s="27" t="s">
        <v>52</v>
      </c>
      <c r="D20" s="4">
        <v>140000000</v>
      </c>
      <c r="E20" s="4">
        <v>130000000</v>
      </c>
      <c r="F20" s="4">
        <v>5020000</v>
      </c>
      <c r="G20" s="4">
        <v>1200000</v>
      </c>
      <c r="H20" s="25" t="s">
        <v>14</v>
      </c>
    </row>
    <row r="21" spans="2:8">
      <c r="B21" s="26" t="s">
        <v>74</v>
      </c>
      <c r="C21" s="27" t="s">
        <v>51</v>
      </c>
      <c r="D21" s="4">
        <v>180000000</v>
      </c>
      <c r="E21" s="4">
        <v>340000000</v>
      </c>
      <c r="F21" s="4">
        <v>7000000</v>
      </c>
      <c r="G21" s="4">
        <v>2300000</v>
      </c>
      <c r="H21" s="25" t="s">
        <v>59</v>
      </c>
    </row>
    <row r="22" spans="2:8">
      <c r="B22" s="26" t="s">
        <v>75</v>
      </c>
      <c r="C22" s="27" t="s">
        <v>52</v>
      </c>
      <c r="D22" s="4">
        <v>130000000</v>
      </c>
      <c r="E22" s="4">
        <v>130000000</v>
      </c>
      <c r="F22" s="4">
        <v>2000000</v>
      </c>
      <c r="G22" s="4">
        <v>1000000</v>
      </c>
      <c r="H22" s="25" t="s">
        <v>58</v>
      </c>
    </row>
    <row r="23" spans="2:8">
      <c r="B23" s="26" t="s">
        <v>75</v>
      </c>
      <c r="C23" s="27" t="s">
        <v>51</v>
      </c>
      <c r="D23" s="4">
        <v>140000000</v>
      </c>
      <c r="E23" s="4">
        <v>190000000</v>
      </c>
      <c r="F23" s="4">
        <v>4125000</v>
      </c>
      <c r="G23" s="4">
        <v>2000000</v>
      </c>
      <c r="H23" s="25" t="s">
        <v>59</v>
      </c>
    </row>
    <row r="24" spans="2:8">
      <c r="B24" s="26" t="s">
        <v>76</v>
      </c>
      <c r="C24" s="27" t="s">
        <v>52</v>
      </c>
      <c r="D24" s="4">
        <v>140000000</v>
      </c>
      <c r="E24" s="4">
        <v>150000000</v>
      </c>
      <c r="F24" s="4">
        <v>4897000</v>
      </c>
      <c r="G24" s="4">
        <v>1300000</v>
      </c>
      <c r="H24" s="25" t="s">
        <v>13</v>
      </c>
    </row>
    <row r="25" spans="2:8" ht="17.25" thickBot="1">
      <c r="B25" s="28" t="s">
        <v>76</v>
      </c>
      <c r="C25" s="29" t="s">
        <v>51</v>
      </c>
      <c r="D25" s="30">
        <v>150000000</v>
      </c>
      <c r="E25" s="30">
        <v>130000000</v>
      </c>
      <c r="F25" s="30">
        <v>6848000</v>
      </c>
      <c r="G25" s="30">
        <v>3100000</v>
      </c>
      <c r="H25" s="31" t="s">
        <v>14</v>
      </c>
    </row>
    <row r="30" spans="2:8">
      <c r="F30" s="52"/>
      <c r="G30" s="52"/>
    </row>
    <row r="31" spans="2:8">
      <c r="F31" s="52"/>
    </row>
  </sheetData>
  <mergeCells count="1">
    <mergeCell ref="F2:G3"/>
  </mergeCells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B1:I33"/>
  <sheetViews>
    <sheetView tabSelected="1" topLeftCell="A5" workbookViewId="0">
      <selection activeCell="J17" sqref="J17"/>
    </sheetView>
  </sheetViews>
  <sheetFormatPr defaultRowHeight="13.5"/>
  <cols>
    <col min="1" max="1" width="2" style="1" customWidth="1"/>
    <col min="2" max="2" width="8" style="1" bestFit="1" customWidth="1"/>
    <col min="3" max="3" width="9.625" style="1" bestFit="1" customWidth="1"/>
    <col min="4" max="5" width="9.25" style="1" bestFit="1" customWidth="1"/>
    <col min="6" max="7" width="8" style="1" bestFit="1" customWidth="1"/>
    <col min="8" max="8" width="13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9">
      <c r="B1" s="1" t="s">
        <v>9</v>
      </c>
    </row>
    <row r="2" spans="2:9">
      <c r="B2" s="2" t="s">
        <v>15</v>
      </c>
      <c r="C2" s="3" t="s">
        <v>16</v>
      </c>
      <c r="D2" s="3" t="s">
        <v>17</v>
      </c>
      <c r="E2" s="3" t="s">
        <v>18</v>
      </c>
      <c r="G2" s="1" t="s">
        <v>10</v>
      </c>
    </row>
    <row r="3" spans="2:9">
      <c r="B3" s="2" t="s">
        <v>19</v>
      </c>
      <c r="C3" s="4">
        <f t="array" ref="C3">MAX($H$18:$H$33 * ($B$18:$B$33=$B3) * ($C$18:$C$33 = C$2))</f>
        <v>1720000</v>
      </c>
      <c r="D3" s="4">
        <f t="array" ref="D3">MAX($H$18:$H$33 * ($B$18:$B$33=$B3) * ($C$18:$C$33 = D$2))</f>
        <v>1415000</v>
      </c>
      <c r="E3" s="4">
        <f t="array" ref="E3">MAX($H$18:$H$33 * ($B$18:$B$33=$B3) * ($C$18:$C$33 = E$2))</f>
        <v>1054000</v>
      </c>
      <c r="G3" s="2" t="s">
        <v>20</v>
      </c>
      <c r="H3" s="3" t="s">
        <v>21</v>
      </c>
    </row>
    <row r="4" spans="2:9">
      <c r="B4" s="2" t="s">
        <v>22</v>
      </c>
      <c r="C4" s="4">
        <f t="array" ref="C4">MAX($H$18:$H$33 * ($B$18:$B$33=$B4) * ($C$18:$C$33 = C$2))</f>
        <v>1570000</v>
      </c>
      <c r="D4" s="4">
        <f t="array" ref="D4">MAX($H$18:$H$33 * ($B$18:$B$33=$B4) * ($C$18:$C$33 = D$2))</f>
        <v>1455000</v>
      </c>
      <c r="E4" s="4">
        <f t="array" ref="E4">MAX($H$18:$H$33 * ($B$18:$B$33=$B4) * ($C$18:$C$33 = E$2))</f>
        <v>678000</v>
      </c>
      <c r="G4" s="2" t="s">
        <v>16</v>
      </c>
      <c r="H4" s="4">
        <f t="array" ref="H4">MEDIAN(IF($C$18:$C$33=$G4, $E$18:$E$33))</f>
        <v>285</v>
      </c>
    </row>
    <row r="5" spans="2:9">
      <c r="B5" s="2" t="s">
        <v>23</v>
      </c>
      <c r="C5" s="4">
        <f t="array" ref="C5">MAX($H$18:$H$33 * ($B$18:$B$33=$B5) * ($C$18:$C$33 = C$2))</f>
        <v>1455000</v>
      </c>
      <c r="D5" s="4">
        <f t="array" ref="D5">MAX($H$18:$H$33 * ($B$18:$B$33=$B5) * ($C$18:$C$33 = D$2))</f>
        <v>880000</v>
      </c>
      <c r="E5" s="4">
        <f t="array" ref="E5">MAX($H$18:$H$33 * ($B$18:$B$33=$B5) * ($C$18:$C$33 = E$2))</f>
        <v>890000</v>
      </c>
      <c r="G5" s="2" t="s">
        <v>17</v>
      </c>
      <c r="H5" s="4">
        <f t="array" ref="H5">MEDIAN(IF($C$18:$C$33=$G5, $E$18:$E$33))</f>
        <v>300</v>
      </c>
    </row>
    <row r="6" spans="2:9">
      <c r="B6" s="2" t="s">
        <v>24</v>
      </c>
      <c r="C6" s="4">
        <f t="array" ref="C6">MAX($H$18:$H$33 * ($B$18:$B$33=$B6) * ($C$18:$C$33 = C$2))</f>
        <v>1645000</v>
      </c>
      <c r="D6" s="4">
        <f t="array" ref="D6">MAX($H$18:$H$33 * ($B$18:$B$33=$B6) * ($C$18:$C$33 = D$2))</f>
        <v>1455000</v>
      </c>
      <c r="E6" s="4">
        <f t="array" ref="E6">MAX($H$18:$H$33 * ($B$18:$B$33=$B6) * ($C$18:$C$33 = E$2))</f>
        <v>115000</v>
      </c>
      <c r="G6" s="2" t="s">
        <v>18</v>
      </c>
      <c r="H6" s="4">
        <f t="array" ref="H6">MEDIAN(IF($C$18:$C$33=$G6, $E$18:$E$33))</f>
        <v>330</v>
      </c>
    </row>
    <row r="8" spans="2:9">
      <c r="B8" s="1" t="s">
        <v>11</v>
      </c>
    </row>
    <row r="9" spans="2:9">
      <c r="B9" s="2" t="s">
        <v>25</v>
      </c>
      <c r="C9" s="3" t="s">
        <v>26</v>
      </c>
      <c r="D9" s="3" t="s">
        <v>27</v>
      </c>
    </row>
    <row r="10" spans="2:9">
      <c r="B10" s="2"/>
      <c r="C10" s="3" t="s">
        <v>28</v>
      </c>
      <c r="D10" s="3" t="s">
        <v>28</v>
      </c>
    </row>
    <row r="11" spans="2:9">
      <c r="B11" s="2" t="s">
        <v>19</v>
      </c>
      <c r="C11" s="5" t="str">
        <f t="array" ref="C11">INDEX($B$18:$H$33, MATCH(( MAX(($B$18:$B$33 = $B11)*F$18:F$33) ), ($B$18:$B$33=$B11) * F$18:F$33, 0), 3)</f>
        <v>이상봉</v>
      </c>
      <c r="D11" s="5" t="str">
        <f t="array" ref="D11">INDEX($B$18:$H$33, MATCH(( MAX(($B$18:$B$33 = $B11)*G$18:G$33) ), ($B$18:$B$33=$B11) * G$18:G$33, 0), 3)</f>
        <v>한성현</v>
      </c>
    </row>
    <row r="12" spans="2:9">
      <c r="B12" s="2" t="s">
        <v>22</v>
      </c>
      <c r="C12" s="5" t="str">
        <f t="array" ref="C12">INDEX($B$18:$H$33, MATCH(( MAX(($B$18:$B$33 = $B12)*F$18:F$33) ), ($B$18:$B$33=$B12) * F$18:F$33, 0), 3)</f>
        <v>노창용</v>
      </c>
      <c r="D12" s="5" t="str">
        <f t="array" ref="D12">INDEX($B$18:$H$33, MATCH(( MAX(($B$18:$B$33 = $B12)*G$18:G$33) ), ($B$18:$B$33=$B12) * G$18:G$33, 0), 3)</f>
        <v>유봉선</v>
      </c>
    </row>
    <row r="13" spans="2:9">
      <c r="B13" s="2" t="s">
        <v>23</v>
      </c>
      <c r="C13" s="5" t="str">
        <f t="array" ref="C13">INDEX($B$18:$H$33, MATCH(( MAX(($B$18:$B$33 = $B13)*F$18:F$33) ), ($B$18:$B$33=$B13) * F$18:F$33, 0), 3)</f>
        <v>황선철</v>
      </c>
      <c r="D13" s="5" t="str">
        <f t="array" ref="D13">INDEX($B$18:$H$33, MATCH(( MAX(($B$18:$B$33 = $B13)*G$18:G$33) ), ($B$18:$B$33=$B13) * G$18:G$33, 0), 3)</f>
        <v>인정제</v>
      </c>
    </row>
    <row r="14" spans="2:9">
      <c r="B14" s="2" t="s">
        <v>24</v>
      </c>
      <c r="C14" s="5" t="str">
        <f t="array" ref="C14">INDEX($B$18:$H$33, MATCH(( MAX(($B$18:$B$33 = $B14)*F$18:F$33) ), ($B$18:$B$33=$B14) * F$18:F$33, 0), 3)</f>
        <v>방극준</v>
      </c>
      <c r="D14" s="5" t="str">
        <f t="array" ref="D14">INDEX($B$18:$H$33, MATCH(( MAX(($B$18:$B$33 = $B14)*G$18:G$33) ), ($B$18:$B$33=$B14) * G$18:G$33, 0), 3)</f>
        <v>이기상</v>
      </c>
      <c r="E14" s="6"/>
      <c r="F14" s="6"/>
      <c r="G14" s="6"/>
      <c r="H14" s="6"/>
    </row>
    <row r="15" spans="2:9">
      <c r="F15" s="7"/>
      <c r="G15" s="6"/>
      <c r="H15" s="6"/>
      <c r="I15" s="6"/>
    </row>
    <row r="16" spans="2:9">
      <c r="B16" s="1" t="s">
        <v>12</v>
      </c>
    </row>
    <row r="17" spans="2:8">
      <c r="B17" s="2" t="s">
        <v>29</v>
      </c>
      <c r="C17" s="2" t="s">
        <v>20</v>
      </c>
      <c r="D17" s="2" t="s">
        <v>28</v>
      </c>
      <c r="E17" s="2" t="s">
        <v>30</v>
      </c>
      <c r="F17" s="2" t="s">
        <v>26</v>
      </c>
      <c r="G17" s="2" t="s">
        <v>27</v>
      </c>
      <c r="H17" s="8" t="s">
        <v>31</v>
      </c>
    </row>
    <row r="18" spans="2:8">
      <c r="B18" s="2" t="s">
        <v>19</v>
      </c>
      <c r="C18" s="2" t="s">
        <v>16</v>
      </c>
      <c r="D18" s="2" t="s">
        <v>32</v>
      </c>
      <c r="E18" s="2">
        <v>250</v>
      </c>
      <c r="F18" s="2">
        <v>4</v>
      </c>
      <c r="G18" s="2">
        <v>1</v>
      </c>
      <c r="H18" s="4">
        <v>1530000</v>
      </c>
    </row>
    <row r="19" spans="2:8">
      <c r="B19" s="2" t="s">
        <v>23</v>
      </c>
      <c r="C19" s="2" t="s">
        <v>16</v>
      </c>
      <c r="D19" s="2" t="s">
        <v>33</v>
      </c>
      <c r="E19" s="2">
        <v>270</v>
      </c>
      <c r="F19" s="2">
        <v>3</v>
      </c>
      <c r="G19" s="2">
        <v>5</v>
      </c>
      <c r="H19" s="4">
        <v>1455000</v>
      </c>
    </row>
    <row r="20" spans="2:8">
      <c r="B20" s="2" t="s">
        <v>22</v>
      </c>
      <c r="C20" s="2" t="s">
        <v>16</v>
      </c>
      <c r="D20" s="2" t="s">
        <v>34</v>
      </c>
      <c r="E20" s="2">
        <v>300</v>
      </c>
      <c r="F20" s="2">
        <v>1</v>
      </c>
      <c r="G20" s="2">
        <v>6</v>
      </c>
      <c r="H20" s="4">
        <v>1570000</v>
      </c>
    </row>
    <row r="21" spans="2:8">
      <c r="B21" s="2" t="s">
        <v>19</v>
      </c>
      <c r="C21" s="2" t="s">
        <v>17</v>
      </c>
      <c r="D21" s="2" t="s">
        <v>35</v>
      </c>
      <c r="E21" s="2">
        <v>270</v>
      </c>
      <c r="F21" s="2">
        <v>7</v>
      </c>
      <c r="G21" s="2">
        <v>7</v>
      </c>
      <c r="H21" s="4">
        <v>1415000</v>
      </c>
    </row>
    <row r="22" spans="2:8">
      <c r="B22" s="2" t="s">
        <v>23</v>
      </c>
      <c r="C22" s="2" t="s">
        <v>17</v>
      </c>
      <c r="D22" s="2" t="s">
        <v>36</v>
      </c>
      <c r="E22" s="2">
        <v>160</v>
      </c>
      <c r="F22" s="2">
        <v>6</v>
      </c>
      <c r="G22" s="2">
        <v>4</v>
      </c>
      <c r="H22" s="4">
        <v>880000</v>
      </c>
    </row>
    <row r="23" spans="2:8">
      <c r="B23" s="2" t="s">
        <v>24</v>
      </c>
      <c r="C23" s="2" t="s">
        <v>17</v>
      </c>
      <c r="D23" s="2" t="s">
        <v>37</v>
      </c>
      <c r="E23" s="2">
        <v>320</v>
      </c>
      <c r="F23" s="2">
        <v>8</v>
      </c>
      <c r="G23" s="2">
        <v>3</v>
      </c>
      <c r="H23" s="4">
        <v>1455000</v>
      </c>
    </row>
    <row r="24" spans="2:8">
      <c r="B24" s="2" t="s">
        <v>19</v>
      </c>
      <c r="C24" s="2" t="s">
        <v>16</v>
      </c>
      <c r="D24" s="2" t="s">
        <v>38</v>
      </c>
      <c r="E24" s="2">
        <v>320</v>
      </c>
      <c r="F24" s="2">
        <v>8</v>
      </c>
      <c r="G24" s="2">
        <v>4</v>
      </c>
      <c r="H24" s="4">
        <v>1720000</v>
      </c>
    </row>
    <row r="25" spans="2:8">
      <c r="B25" s="2" t="s">
        <v>19</v>
      </c>
      <c r="C25" s="2" t="s">
        <v>18</v>
      </c>
      <c r="D25" s="2" t="s">
        <v>39</v>
      </c>
      <c r="E25" s="2">
        <v>330</v>
      </c>
      <c r="F25" s="2">
        <v>7</v>
      </c>
      <c r="G25" s="2">
        <v>3</v>
      </c>
      <c r="H25" s="4">
        <v>1054000</v>
      </c>
    </row>
    <row r="26" spans="2:8">
      <c r="B26" s="2" t="s">
        <v>23</v>
      </c>
      <c r="C26" s="2" t="s">
        <v>18</v>
      </c>
      <c r="D26" s="2" t="s">
        <v>40</v>
      </c>
      <c r="E26" s="2">
        <v>270</v>
      </c>
      <c r="F26" s="2">
        <v>6</v>
      </c>
      <c r="G26" s="2">
        <v>5</v>
      </c>
      <c r="H26" s="4">
        <v>890000</v>
      </c>
    </row>
    <row r="27" spans="2:8">
      <c r="B27" s="2" t="s">
        <v>24</v>
      </c>
      <c r="C27" s="2" t="s">
        <v>16</v>
      </c>
      <c r="D27" s="2" t="s">
        <v>41</v>
      </c>
      <c r="E27" s="2">
        <v>320</v>
      </c>
      <c r="F27" s="2">
        <v>7</v>
      </c>
      <c r="G27" s="2">
        <v>2</v>
      </c>
      <c r="H27" s="4">
        <v>1645000</v>
      </c>
    </row>
    <row r="28" spans="2:8">
      <c r="B28" s="2" t="s">
        <v>22</v>
      </c>
      <c r="C28" s="2" t="s">
        <v>16</v>
      </c>
      <c r="D28" s="2" t="s">
        <v>42</v>
      </c>
      <c r="E28" s="2">
        <v>160</v>
      </c>
      <c r="F28" s="2">
        <v>6</v>
      </c>
      <c r="G28" s="2">
        <v>9</v>
      </c>
      <c r="H28" s="4">
        <v>855000</v>
      </c>
    </row>
    <row r="29" spans="2:8">
      <c r="B29" s="2" t="s">
        <v>22</v>
      </c>
      <c r="C29" s="2" t="s">
        <v>18</v>
      </c>
      <c r="D29" s="2" t="s">
        <v>43</v>
      </c>
      <c r="E29" s="2">
        <v>330</v>
      </c>
      <c r="F29" s="2">
        <v>9</v>
      </c>
      <c r="G29" s="2">
        <v>1</v>
      </c>
      <c r="H29" s="4">
        <v>678000</v>
      </c>
    </row>
    <row r="30" spans="2:8">
      <c r="B30" s="2" t="s">
        <v>22</v>
      </c>
      <c r="C30" s="2" t="s">
        <v>17</v>
      </c>
      <c r="D30" s="2" t="s">
        <v>44</v>
      </c>
      <c r="E30" s="2">
        <v>300</v>
      </c>
      <c r="F30" s="2">
        <v>2</v>
      </c>
      <c r="G30" s="2">
        <v>5</v>
      </c>
      <c r="H30" s="4">
        <v>1455000</v>
      </c>
    </row>
    <row r="31" spans="2:8">
      <c r="B31" s="2" t="s">
        <v>24</v>
      </c>
      <c r="C31" s="2" t="s">
        <v>18</v>
      </c>
      <c r="D31" s="2" t="s">
        <v>45</v>
      </c>
      <c r="E31" s="2">
        <v>270</v>
      </c>
      <c r="F31" s="2">
        <v>5</v>
      </c>
      <c r="G31" s="2">
        <v>6</v>
      </c>
      <c r="H31" s="4">
        <v>115000</v>
      </c>
    </row>
    <row r="32" spans="2:8">
      <c r="B32" s="2" t="s">
        <v>24</v>
      </c>
      <c r="C32" s="2" t="s">
        <v>17</v>
      </c>
      <c r="D32" s="2" t="s">
        <v>46</v>
      </c>
      <c r="E32" s="2">
        <v>320</v>
      </c>
      <c r="F32" s="2">
        <v>4</v>
      </c>
      <c r="G32" s="2">
        <v>4</v>
      </c>
      <c r="H32" s="4">
        <v>1395000</v>
      </c>
    </row>
    <row r="33" spans="2:8">
      <c r="B33" s="2" t="s">
        <v>19</v>
      </c>
      <c r="C33" s="2" t="s">
        <v>18</v>
      </c>
      <c r="D33" s="2" t="s">
        <v>47</v>
      </c>
      <c r="E33" s="2">
        <v>350</v>
      </c>
      <c r="F33" s="2">
        <v>7</v>
      </c>
      <c r="G33" s="2">
        <v>3</v>
      </c>
      <c r="H33" s="4">
        <v>985000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2011-06-14T06:57:50Z</dcterms:created>
  <dcterms:modified xsi:type="dcterms:W3CDTF">2020-07-30T19:19:13Z</dcterms:modified>
</cp:coreProperties>
</file>