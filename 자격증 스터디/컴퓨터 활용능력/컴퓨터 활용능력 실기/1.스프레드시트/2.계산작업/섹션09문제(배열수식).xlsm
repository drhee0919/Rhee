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34D54A4E-0A03-4238-B815-DA5AF9D17BB7}" xr6:coauthVersionLast="45" xr6:coauthVersionMax="45" xr10:uidLastSave="{00000000-0000-0000-0000-000000000000}"/>
  <bookViews>
    <workbookView xWindow="0" yWindow="0" windowWidth="20490" windowHeight="10920" activeTab="1" xr2:uid="{00000000-000D-0000-FFFF-FFFF00000000}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4" l="1" a="1"/>
  <c r="K4" i="4" s="1"/>
  <c r="K5" i="4" a="1"/>
  <c r="K5" i="4"/>
  <c r="K6" i="4" a="1"/>
  <c r="K6" i="4" s="1"/>
  <c r="K7" i="4" a="1"/>
  <c r="K7" i="4"/>
  <c r="J4" i="4" a="1"/>
  <c r="J4" i="4" s="1"/>
  <c r="J5" i="4" a="1"/>
  <c r="J5" i="4"/>
  <c r="J6" i="4" a="1"/>
  <c r="J6" i="4" s="1"/>
  <c r="J7" i="4" a="1"/>
  <c r="J7" i="4"/>
  <c r="J3" i="4" a="1"/>
  <c r="J3" i="4" s="1"/>
  <c r="I4" i="4" a="1"/>
  <c r="I4" i="4" s="1"/>
  <c r="I5" i="4" a="1"/>
  <c r="I5" i="4"/>
  <c r="I6" i="4" a="1"/>
  <c r="I6" i="4" s="1"/>
  <c r="I7" i="4" a="1"/>
  <c r="I7" i="4"/>
  <c r="I3" i="4" a="1"/>
  <c r="I3" i="4" s="1"/>
  <c r="H4" i="4" a="1"/>
  <c r="H4" i="4" s="1"/>
  <c r="H5" i="4" a="1"/>
  <c r="H5" i="4"/>
  <c r="H6" i="4" a="1"/>
  <c r="H6" i="4" s="1"/>
  <c r="H7" i="4" a="1"/>
  <c r="H7" i="4"/>
  <c r="H3" i="4" a="1"/>
  <c r="H3" i="4" s="1"/>
  <c r="G4" i="4" a="1"/>
  <c r="G4" i="4" s="1"/>
  <c r="G5" i="4" a="1"/>
  <c r="G5" i="4" s="1"/>
  <c r="G6" i="4" a="1"/>
  <c r="G6" i="4" s="1"/>
  <c r="G7" i="4" a="1"/>
  <c r="G7" i="4" s="1"/>
  <c r="G3" i="4" a="1"/>
  <c r="G3" i="4" s="1"/>
  <c r="F4" i="4" a="1"/>
  <c r="F4" i="4" s="1"/>
  <c r="F5" i="4" a="1"/>
  <c r="F5" i="4" s="1"/>
  <c r="F6" i="4" a="1"/>
  <c r="F6" i="4" s="1"/>
  <c r="F7" i="4" a="1"/>
  <c r="F7" i="4" s="1"/>
  <c r="F3" i="4" a="1"/>
  <c r="F3" i="4" s="1"/>
  <c r="E4" i="4" a="1"/>
  <c r="E4" i="4" s="1"/>
  <c r="E5" i="4" a="1"/>
  <c r="E5" i="4" s="1"/>
  <c r="E6" i="4" a="1"/>
  <c r="E6" i="4" s="1"/>
  <c r="E7" i="4" a="1"/>
  <c r="E7" i="4" s="1"/>
  <c r="E3" i="4" a="1"/>
  <c r="E3" i="4" s="1"/>
  <c r="C4" i="4" a="1"/>
  <c r="C4" i="4" s="1"/>
  <c r="C5" i="4" a="1"/>
  <c r="C5" i="4" s="1"/>
  <c r="C6" i="4" a="1"/>
  <c r="C6" i="4" s="1"/>
  <c r="C7" i="4" a="1"/>
  <c r="C7" i="4" s="1"/>
  <c r="C3" i="4" a="1"/>
  <c r="C3" i="4" s="1"/>
  <c r="D4" i="4" a="1"/>
  <c r="D4" i="4" s="1"/>
  <c r="D5" i="4" a="1"/>
  <c r="D5" i="4" s="1"/>
  <c r="D6" i="4" a="1"/>
  <c r="D6" i="4" s="1"/>
  <c r="D7" i="4" a="1"/>
  <c r="D7" i="4" s="1"/>
  <c r="D3" i="4" a="1"/>
  <c r="D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C1" authorId="0" shapeId="0" xr:uid="{4E94DF58-D5A0-437A-B9D6-65820189F4C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
→</t>
        </r>
        <r>
          <rPr>
            <sz val="9"/>
            <color indexed="81"/>
            <rFont val="Tahoma"/>
            <family val="2"/>
          </rPr>
          <t xml:space="preserve"> ctrl + shift + Enter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2" authorId="0" shapeId="0" xr:uid="{B487B934-57A0-419A-98EF-11D01B633F6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임대건수를</t>
        </r>
        <r>
          <rPr>
            <b/>
            <sz val="9"/>
            <color indexed="81"/>
            <rFont val="Tahoma"/>
            <family val="2"/>
          </rPr>
          <t xml:space="preserve"> [C3:C7]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ㅁ</t>
        </r>
      </text>
    </comment>
    <comment ref="D2" authorId="0" shapeId="0" xr:uid="{5B49D4B2-D7E9-45A2-BD1A-391B44608A6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[D3:D7]</t>
        </r>
        <r>
          <rPr>
            <b/>
            <sz val="9"/>
            <color indexed="81"/>
            <rFont val="돋움"/>
            <family val="3"/>
            <charset val="129"/>
          </rPr>
          <t>영역에서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-</t>
        </r>
        <r>
          <rPr>
            <sz val="9"/>
            <color indexed="81"/>
            <rFont val="Tahoma"/>
            <family val="2"/>
          </rPr>
          <t>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2" authorId="0" shapeId="0" xr:uid="{42C912BD-0E0C-424B-B31E-AC65709EC17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김승진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[E3:E7]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2" authorId="0" shapeId="0" xr:uid="{EDA6F16C-5EF2-4616-9B94-1F5DB0ABF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월임대료를</t>
        </r>
        <r>
          <rPr>
            <b/>
            <sz val="9"/>
            <color indexed="81"/>
            <rFont val="Tahoma"/>
            <family val="2"/>
          </rPr>
          <t xml:space="preserve"> [F3:F7]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평균임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AVERAGE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G2" authorId="0" shapeId="0" xr:uid="{1E247ECC-72C9-4188-959D-8CF8576501F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[G3:G7]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계산하시오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2" authorId="0" shapeId="0" xr:uid="{13917E4D-8CB1-4944-A564-F0DAD8F00DE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번째로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[H3:H7]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LARGE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I2" authorId="0" shapeId="0" xr:uid="{66EE559D-17FC-42F4-99C5-6F3C1C707B6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중간값을</t>
        </r>
        <r>
          <rPr>
            <b/>
            <sz val="9"/>
            <color indexed="81"/>
            <rFont val="Tahoma"/>
            <family val="2"/>
          </rPr>
          <t xml:space="preserve"> [I3:I7]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J2" authorId="0" shapeId="0" xr:uid="{10FAF415-AF44-40AD-9768-EC0DEDEBEF5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2018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임대종료건수를</t>
        </r>
        <r>
          <rPr>
            <b/>
            <sz val="9"/>
            <color indexed="81"/>
            <rFont val="Tahoma"/>
            <family val="2"/>
          </rPr>
          <t xml:space="preserve"> [J3:J7]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- 2018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임대종료일</t>
        </r>
        <r>
          <rPr>
            <sz val="9"/>
            <color indexed="81"/>
            <rFont val="Tahoma"/>
            <family val="2"/>
          </rPr>
          <t>(H11:H29)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연도가</t>
        </r>
        <r>
          <rPr>
            <sz val="9"/>
            <color indexed="81"/>
            <rFont val="Tahoma"/>
            <family val="2"/>
          </rPr>
          <t xml:space="preserve"> 2018</t>
        </r>
        <r>
          <rPr>
            <sz val="9"/>
            <color indexed="81"/>
            <rFont val="돋움"/>
            <family val="3"/>
            <charset val="129"/>
          </rPr>
          <t>년인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개수임</t>
        </r>
        <r>
          <rPr>
            <sz val="9"/>
            <color indexed="81"/>
            <rFont val="Tahoma"/>
            <family val="2"/>
          </rPr>
          <t xml:space="preserve"> 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YEAR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K2" authorId="0" shapeId="0" xr:uid="{8FEC143E-FF67-4740-89C2-47011E120CF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성명을</t>
        </r>
        <r>
          <rPr>
            <b/>
            <sz val="9"/>
            <color indexed="81"/>
            <rFont val="Tahoma"/>
            <family val="2"/>
          </rPr>
          <t xml:space="preserve"> [K3:K7]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C3" authorId="0" shapeId="0" xr:uid="{6EB66895-8FA8-4CBA-9CBA-711200158B1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배열수식</t>
        </r>
        <r>
          <rPr>
            <b/>
            <sz val="9"/>
            <color indexed="81"/>
            <rFont val="Tahoma"/>
            <family val="2"/>
          </rPr>
          <t xml:space="preserve">
{=SUM(IF(B11:B29=B3,1))}
</t>
        </r>
        <r>
          <rPr>
            <sz val="9"/>
            <color indexed="81"/>
            <rFont val="Tahoma"/>
            <family val="2"/>
          </rPr>
          <t>IF(B11=B3,1,0), 
IF(B12=B3,1,0), …
IF(B29=B3,1,0)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수식까지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더한것이라고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</t>
        </r>
        <r>
          <rPr>
            <sz val="9"/>
            <color indexed="81"/>
            <rFont val="Tahoma"/>
            <family val="2"/>
          </rPr>
          <t xml:space="preserve">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D1" authorId="0" shapeId="0" xr:uid="{AE27D1F5-C73B-4F7F-8DCB-F14C95FF66B5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팀별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채용형태별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직접경비의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합계를</t>
        </r>
        <r>
          <rPr>
            <sz val="9"/>
            <color indexed="81"/>
            <rFont val="Tahoma"/>
            <family val="2"/>
          </rPr>
          <t xml:space="preserve"> [C3:D4] 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[B13:H25] </t>
        </r>
        <r>
          <rPr>
            <sz val="9"/>
            <color indexed="81"/>
            <rFont val="돋움"/>
            <family val="3"/>
            <charset val="129"/>
          </rPr>
          <t>영역을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팀은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소속</t>
        </r>
        <r>
          <rPr>
            <sz val="9"/>
            <color indexed="81"/>
            <rFont val="Tahoma"/>
            <family val="2"/>
          </rPr>
          <t xml:space="preserve"> [B14:B25]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문자로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RIGHT 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<sst xmlns="http://schemas.openxmlformats.org/spreadsheetml/2006/main" count="224" uniqueCount="107">
  <si>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</si>
  <si>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</si>
  <si>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</si>
  <si>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</si>
  <si>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</si>
  <si>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</si>
  <si>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</si>
  <si>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</si>
  <si>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</si>
  <si>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</si>
  <si>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</si>
  <si>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[표3]</t>
    <phoneticPr fontId="3" type="noConversion"/>
  </si>
  <si>
    <t>[표4]</t>
    <phoneticPr fontId="3" type="noConversion"/>
  </si>
  <si>
    <t>달성</t>
  </si>
  <si>
    <t>미달</t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</si>
  <si>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</si>
  <si>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</si>
  <si>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</si>
  <si>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</si>
  <si>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</si>
  <si>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</si>
  <si>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</si>
  <si>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</si>
  <si>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</si>
  <si>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</si>
  <si>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</si>
  <si>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</si>
  <si>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</si>
  <si>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</si>
  <si>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</si>
  <si>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</si>
  <si>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</si>
  <si>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</si>
  <si>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</si>
  <si>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</si>
  <si>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</si>
  <si>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</si>
  <si>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</si>
  <si>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</si>
  <si>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</si>
  <si>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</si>
  <si>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</si>
  <si>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</si>
  <si>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</si>
  <si>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</si>
  <si>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</si>
  <si>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</si>
  <si>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</si>
  <si>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</si>
  <si>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</si>
  <si>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</si>
  <si>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</si>
  <si>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</si>
  <si>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지역이 "과천"이거나 달성률 평가가 "달성"인 
실적의 합계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</si>
  <si>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</si>
  <si>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</si>
  <si>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</si>
  <si>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</si>
  <si>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</si>
  <si>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</si>
  <si>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</si>
  <si>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</si>
  <si>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</si>
  <si>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</si>
  <si>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</si>
  <si>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</si>
  <si>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</si>
  <si>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</si>
  <si>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</si>
  <si>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</si>
  <si>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</si>
  <si>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</si>
  <si>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</si>
  <si>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</si>
  <si>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</si>
  <si>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</si>
  <si>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</si>
  <si>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</si>
  <si>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</si>
  <si>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</si>
  <si>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</si>
  <si>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</si>
  <si>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</si>
  <si>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</si>
  <si>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</si>
  <si>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</si>
  <si>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2018년도
임대종료건수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</si>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</sst>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4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1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</cellStyleXfs>
  <cellXfs count="57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0" fontId="31" fillId="0" borderId="1" xfId="1" applyNumberFormat="1" applyFont="1" applyBorder="1" applyAlignment="1">
      <alignment vertical="center"/>
    </xf>
    <xf numFmtId="41" fontId="31" fillId="0" borderId="0" xfId="2" applyNumberFormat="1" applyFont="1" applyBorder="1" applyAlignment="1">
      <alignment vertical="center"/>
    </xf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</cellXfs>
  <cellStyles count="81">
    <cellStyle name="A¨­￠￢￠O [0]_INQUIRY ￠?￥i¨u¡AAⓒ￢Aⓒª " xfId="14" xr:uid="{00000000-0005-0000-0000-000000000000}"/>
    <cellStyle name="A¨­￠￢￠O_INQUIRY ￠?￥i¨u¡AAⓒ￢Aⓒª " xfId="15" xr:uid="{00000000-0005-0000-0000-000001000000}"/>
    <cellStyle name="Accent1" xfId="16" xr:uid="{00000000-0005-0000-0000-000002000000}"/>
    <cellStyle name="Accent1 - 20%" xfId="17" xr:uid="{00000000-0005-0000-0000-000003000000}"/>
    <cellStyle name="Accent1 - 40%" xfId="18" xr:uid="{00000000-0005-0000-0000-000004000000}"/>
    <cellStyle name="Accent1 - 60%" xfId="19" xr:uid="{00000000-0005-0000-0000-000005000000}"/>
    <cellStyle name="Accent2" xfId="20" xr:uid="{00000000-0005-0000-0000-000006000000}"/>
    <cellStyle name="Accent2 - 20%" xfId="21" xr:uid="{00000000-0005-0000-0000-000007000000}"/>
    <cellStyle name="Accent2 - 40%" xfId="22" xr:uid="{00000000-0005-0000-0000-000008000000}"/>
    <cellStyle name="Accent2 - 60%" xfId="23" xr:uid="{00000000-0005-0000-0000-000009000000}"/>
    <cellStyle name="Accent3" xfId="24" xr:uid="{00000000-0005-0000-0000-00000A000000}"/>
    <cellStyle name="Accent3 - 20%" xfId="25" xr:uid="{00000000-0005-0000-0000-00000B000000}"/>
    <cellStyle name="Accent3 - 40%" xfId="26" xr:uid="{00000000-0005-0000-0000-00000C000000}"/>
    <cellStyle name="Accent3 - 60%" xfId="27" xr:uid="{00000000-0005-0000-0000-00000D000000}"/>
    <cellStyle name="Accent4" xfId="28" xr:uid="{00000000-0005-0000-0000-00000E000000}"/>
    <cellStyle name="Accent4 - 20%" xfId="29" xr:uid="{00000000-0005-0000-0000-00000F000000}"/>
    <cellStyle name="Accent4 - 40%" xfId="30" xr:uid="{00000000-0005-0000-0000-000010000000}"/>
    <cellStyle name="Accent4 - 60%" xfId="31" xr:uid="{00000000-0005-0000-0000-000011000000}"/>
    <cellStyle name="Accent5" xfId="32" xr:uid="{00000000-0005-0000-0000-000012000000}"/>
    <cellStyle name="Accent5 - 20%" xfId="33" xr:uid="{00000000-0005-0000-0000-000013000000}"/>
    <cellStyle name="Accent5 - 40%" xfId="34" xr:uid="{00000000-0005-0000-0000-000014000000}"/>
    <cellStyle name="Accent5 - 60%" xfId="35" xr:uid="{00000000-0005-0000-0000-000015000000}"/>
    <cellStyle name="Accent6" xfId="36" xr:uid="{00000000-0005-0000-0000-000016000000}"/>
    <cellStyle name="Accent6 - 20%" xfId="37" xr:uid="{00000000-0005-0000-0000-000017000000}"/>
    <cellStyle name="Accent6 - 40%" xfId="38" xr:uid="{00000000-0005-0000-0000-000018000000}"/>
    <cellStyle name="Accent6 - 60%" xfId="39" xr:uid="{00000000-0005-0000-0000-000019000000}"/>
    <cellStyle name="AeE­ [0]_AMT " xfId="40" xr:uid="{00000000-0005-0000-0000-00001A000000}"/>
    <cellStyle name="AeE­_AMT " xfId="41" xr:uid="{00000000-0005-0000-0000-00001B000000}"/>
    <cellStyle name="AeE¡ⓒ [0]_INQUIRY ￠?￥i¨u¡AAⓒ￢Aⓒª " xfId="42" xr:uid="{00000000-0005-0000-0000-00001C000000}"/>
    <cellStyle name="AeE¡ⓒ_INQUIRY ￠?￥i¨u¡AAⓒ￢Aⓒª " xfId="43" xr:uid="{00000000-0005-0000-0000-00001D000000}"/>
    <cellStyle name="AÞ¸¶ [0]_AN°y(1.25) " xfId="44" xr:uid="{00000000-0005-0000-0000-00001E000000}"/>
    <cellStyle name="AÞ¸¶_AN°y(1.25) " xfId="45" xr:uid="{00000000-0005-0000-0000-00001F000000}"/>
    <cellStyle name="Bad" xfId="46" xr:uid="{00000000-0005-0000-0000-000020000000}"/>
    <cellStyle name="C¡IA¨ª_¡ic¨u¡A¨￢I¨￢¡Æ AN¡Æe " xfId="47" xr:uid="{00000000-0005-0000-0000-000021000000}"/>
    <cellStyle name="C￥AØ_¿μ¾÷CoE² " xfId="48" xr:uid="{00000000-0005-0000-0000-000022000000}"/>
    <cellStyle name="Calculation" xfId="49" xr:uid="{00000000-0005-0000-0000-000023000000}"/>
    <cellStyle name="Check Cell" xfId="50" xr:uid="{00000000-0005-0000-0000-000024000000}"/>
    <cellStyle name="Comma [0]_ SG&amp;A Bridge " xfId="51" xr:uid="{00000000-0005-0000-0000-000025000000}"/>
    <cellStyle name="Comma_ SG&amp;A Bridge " xfId="52" xr:uid="{00000000-0005-0000-0000-000026000000}"/>
    <cellStyle name="Comma0" xfId="53" xr:uid="{00000000-0005-0000-0000-000027000000}"/>
    <cellStyle name="Curren?_x0012_퐀_x0017_?" xfId="54" xr:uid="{00000000-0005-0000-0000-000028000000}"/>
    <cellStyle name="Currency [0]_ SG&amp;A Bridge " xfId="55" xr:uid="{00000000-0005-0000-0000-000029000000}"/>
    <cellStyle name="Currency_ SG&amp;A Bridge " xfId="56" xr:uid="{00000000-0005-0000-0000-00002A000000}"/>
    <cellStyle name="Currency0" xfId="57" xr:uid="{00000000-0005-0000-0000-00002B000000}"/>
    <cellStyle name="Date" xfId="58" xr:uid="{00000000-0005-0000-0000-00002C000000}"/>
    <cellStyle name="Emphasis 1" xfId="59" xr:uid="{00000000-0005-0000-0000-00002D000000}"/>
    <cellStyle name="Emphasis 2" xfId="60" xr:uid="{00000000-0005-0000-0000-00002E000000}"/>
    <cellStyle name="Emphasis 3" xfId="61" xr:uid="{00000000-0005-0000-0000-00002F000000}"/>
    <cellStyle name="Fixed" xfId="62" xr:uid="{00000000-0005-0000-0000-000030000000}"/>
    <cellStyle name="Good" xfId="63" xr:uid="{00000000-0005-0000-0000-000031000000}"/>
    <cellStyle name="Header1" xfId="64" xr:uid="{00000000-0005-0000-0000-000032000000}"/>
    <cellStyle name="Header2" xfId="65" xr:uid="{00000000-0005-0000-0000-000033000000}"/>
    <cellStyle name="Heading 1" xfId="66" xr:uid="{00000000-0005-0000-0000-000034000000}"/>
    <cellStyle name="Heading 2" xfId="67" xr:uid="{00000000-0005-0000-0000-000035000000}"/>
    <cellStyle name="Heading 3" xfId="68" xr:uid="{00000000-0005-0000-0000-000036000000}"/>
    <cellStyle name="Heading 4" xfId="69" xr:uid="{00000000-0005-0000-0000-000037000000}"/>
    <cellStyle name="Input" xfId="70" xr:uid="{00000000-0005-0000-0000-000038000000}"/>
    <cellStyle name="Linked Cell" xfId="71" xr:uid="{00000000-0005-0000-0000-000039000000}"/>
    <cellStyle name="Neutral" xfId="72" xr:uid="{00000000-0005-0000-0000-00003A000000}"/>
    <cellStyle name="Normal_ SG&amp;A Bridge " xfId="73" xr:uid="{00000000-0005-0000-0000-00003B000000}"/>
    <cellStyle name="Note" xfId="74" xr:uid="{00000000-0005-0000-0000-00003C000000}"/>
    <cellStyle name="Output" xfId="75" xr:uid="{00000000-0005-0000-0000-00003D000000}"/>
    <cellStyle name="Percent [2]" xfId="76" xr:uid="{00000000-0005-0000-0000-00003E000000}"/>
    <cellStyle name="Sheet Title" xfId="77" xr:uid="{00000000-0005-0000-0000-00003F000000}"/>
    <cellStyle name="subhead" xfId="78" xr:uid="{00000000-0005-0000-0000-000040000000}"/>
    <cellStyle name="Total" xfId="79" xr:uid="{00000000-0005-0000-0000-000041000000}"/>
    <cellStyle name="Warning Text" xfId="80" xr:uid="{00000000-0005-0000-0000-000042000000}"/>
    <cellStyle name="똿뗦먛귟 [0.00]_PRODUCT DETAIL Q1" xfId="6" xr:uid="{00000000-0005-0000-0000-000043000000}"/>
    <cellStyle name="똿뗦먛귟_PRODUCT DETAIL Q1" xfId="7" xr:uid="{00000000-0005-0000-0000-000044000000}"/>
    <cellStyle name="믅됞 [0.00]_PRODUCT DETAIL Q1" xfId="8" xr:uid="{00000000-0005-0000-0000-000045000000}"/>
    <cellStyle name="믅됞_PRODUCT DETAIL Q1" xfId="9" xr:uid="{00000000-0005-0000-0000-000046000000}"/>
    <cellStyle name="뷭?_BOOKSHIP" xfId="10" xr:uid="{00000000-0005-0000-0000-000047000000}"/>
    <cellStyle name="쉼표 [0] 2" xfId="2" xr:uid="{00000000-0005-0000-0000-000048000000}"/>
    <cellStyle name="스타일 1" xfId="11" xr:uid="{00000000-0005-0000-0000-000049000000}"/>
    <cellStyle name="콤마 [0]_ 견적기준 FLOW " xfId="12" xr:uid="{00000000-0005-0000-0000-00004A000000}"/>
    <cellStyle name="콤마_ 견적기준 FLOW " xfId="13" xr:uid="{00000000-0005-0000-0000-00004B000000}"/>
    <cellStyle name="표준" xfId="0" builtinId="0"/>
    <cellStyle name="표준 2" xfId="1" xr:uid="{00000000-0005-0000-0000-00004D000000}"/>
    <cellStyle name="표준_1급 B형(정답)" xfId="5" xr:uid="{00000000-0005-0000-0000-00004E000000}"/>
    <cellStyle name="표준_Sheet3_섹션08문제" xfId="4" xr:uid="{00000000-0005-0000-0000-00004F000000}"/>
    <cellStyle name="표준_건물임대" xfId="3" xr:uid="{00000000-0005-0000-0000-00005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B1:L33"/>
  <sheetViews>
    <sheetView topLeftCell="A7" workbookViewId="0">
      <selection activeCell="F4" sqref="F4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77</v>
      </c>
    </row>
    <row r="2" spans="2:12" ht="26.25" customHeight="1">
      <c r="B2" s="14" t="s">
        <v>78</v>
      </c>
      <c r="C2" s="13" t="s">
        <v>79</v>
      </c>
      <c r="D2" s="32" t="s">
        <v>80</v>
      </c>
      <c r="E2" s="32" t="s">
        <v>81</v>
      </c>
      <c r="F2" s="32" t="s">
        <v>82</v>
      </c>
      <c r="G2" s="32" t="s">
        <v>83</v>
      </c>
      <c r="H2" s="32" t="s">
        <v>84</v>
      </c>
      <c r="I2" s="32" t="s">
        <v>85</v>
      </c>
      <c r="J2" s="32" t="s">
        <v>86</v>
      </c>
      <c r="K2" s="32" t="s">
        <v>87</v>
      </c>
    </row>
    <row r="3" spans="2:12" ht="13.5" customHeight="1">
      <c r="B3" s="27" t="s">
        <v>0</v>
      </c>
      <c r="C3" s="27">
        <f t="array" ref="C3">SUM(IF($B$11:$B$29=B3,1))</f>
        <v>5</v>
      </c>
      <c r="D3" s="53">
        <f t="array" ref="D3">SUM(($B$11:$B$29=B3) * $F$11:$F$29)</f>
        <v>491.8</v>
      </c>
      <c r="E3" s="33">
        <f t="array" ref="E3">SUM(IF(($B$11:$B$29=B3) * ($D$11:$D$29="김승진"), $F$11:$F$29))</f>
        <v>225.1</v>
      </c>
      <c r="F3" s="34">
        <f t="array" ref="F3">AVERAGE(IF($B$11:$B$29=B3, $G$11:$G$29))</f>
        <v>707000</v>
      </c>
      <c r="G3" s="15">
        <f t="array" ref="G3">MAX(($B$11:$B$29=B3) * $E$11:$E$29)</f>
        <v>80000</v>
      </c>
      <c r="H3" s="15">
        <f t="array" ref="H3">LARGE(IF($B$11:$B$29=B3, $E$11:$E$29), 2)</f>
        <v>65000</v>
      </c>
      <c r="I3" s="15">
        <f t="array" ref="I3">MEDIAN(IF($B$11:$B$29=B3, G11:G29))</f>
        <v>550000</v>
      </c>
      <c r="J3" s="27">
        <f t="array" ref="J3">SUM(($B$11:$B$29=B3) * (YEAR($H$11:$H$29)=2018))</f>
        <v>1</v>
      </c>
      <c r="K3" s="27" t="s">
        <v>106</v>
      </c>
      <c r="L3" s="35"/>
    </row>
    <row r="4" spans="2:12" ht="13.5" customHeight="1">
      <c r="B4" s="27" t="s">
        <v>1</v>
      </c>
      <c r="C4" s="27">
        <f t="array" ref="C4">SUM(IF($B$11:$B$29=B4,1))</f>
        <v>2</v>
      </c>
      <c r="D4" s="53">
        <f t="array" ref="D4">SUM(($B$11:$B$29=B4) * $F$11:$F$29)</f>
        <v>235</v>
      </c>
      <c r="E4" s="33">
        <f t="array" ref="E4">SUM(IF(($B$11:$B$29=B4) * ($D$11:$D$29="김승진"), $F$11:$F$29))</f>
        <v>150.5</v>
      </c>
      <c r="F4" s="34">
        <f t="array" ref="F4">AVERAGE(IF($B$11:$B$29=B4, $G$11:$G$29))</f>
        <v>775000</v>
      </c>
      <c r="G4" s="15">
        <f t="array" ref="G4">MAX(($B$11:$B$29=B4) * $E$11:$E$29)</f>
        <v>65000</v>
      </c>
      <c r="H4" s="15">
        <f t="array" ref="H4">LARGE(IF($B$11:$B$29=B4, $E$11:$E$29), 2)</f>
        <v>25000</v>
      </c>
      <c r="I4" s="15">
        <f t="array" ref="I4">MEDIAN(IF($B$11:$B$29=B4, G12:G30))</f>
        <v>1055000</v>
      </c>
      <c r="J4" s="27">
        <f t="array" ref="J4">SUM(($B$11:$B$29=B4) * (YEAR($H$11:$H$29)=2018))</f>
        <v>1</v>
      </c>
      <c r="K4" s="27" t="str">
        <f t="array" ref="K4">INDEX($B$11:$H$29, MATCH( MAX(($B$11:$B$29=B4) * $G$11:$G$29), ($B$11:$B$29=B4)*$G$11:$G$29,0), 3)</f>
        <v>김승진</v>
      </c>
      <c r="L4" s="35"/>
    </row>
    <row r="5" spans="2:12" ht="13.5" customHeight="1">
      <c r="B5" s="27" t="s">
        <v>2</v>
      </c>
      <c r="C5" s="27">
        <f t="array" ref="C5">SUM(IF($B$11:$B$29=B5,1))</f>
        <v>4</v>
      </c>
      <c r="D5" s="53">
        <f t="array" ref="D5">SUM(($B$11:$B$29=B5) * $F$11:$F$29)</f>
        <v>710.9</v>
      </c>
      <c r="E5" s="33">
        <f t="array" ref="E5">SUM(IF(($B$11:$B$29=B5) * ($D$11:$D$29="김승진"), $F$11:$F$29))</f>
        <v>398</v>
      </c>
      <c r="F5" s="34">
        <f t="array" ref="F5">AVERAGE(IF($B$11:$B$29=B5, $G$11:$G$29))</f>
        <v>947500</v>
      </c>
      <c r="G5" s="15">
        <f t="array" ref="G5">MAX(($B$11:$B$29=B5) * $E$11:$E$29)</f>
        <v>45000</v>
      </c>
      <c r="H5" s="15">
        <f t="array" ref="H5">LARGE(IF($B$11:$B$29=B5, $E$11:$E$29), 2)</f>
        <v>40000</v>
      </c>
      <c r="I5" s="15">
        <f t="array" ref="I5">MEDIAN(IF($B$11:$B$29=B5, G13:G31))</f>
        <v>447500</v>
      </c>
      <c r="J5" s="27">
        <f t="array" ref="J5">SUM(($B$11:$B$29=B5) * (YEAR($H$11:$H$29)=2018))</f>
        <v>0</v>
      </c>
      <c r="K5" s="27" t="str">
        <f t="array" ref="K5">INDEX($B$11:$H$29, MATCH( MAX(($B$11:$B$29=B5) * $G$11:$G$29), ($B$11:$B$29=B5)*$G$11:$G$29,0), 3)</f>
        <v>허중</v>
      </c>
      <c r="L5" s="35"/>
    </row>
    <row r="6" spans="2:12" ht="13.5" customHeight="1">
      <c r="B6" s="27" t="s">
        <v>3</v>
      </c>
      <c r="C6" s="27">
        <f t="array" ref="C6">SUM(IF($B$11:$B$29=B6,1))</f>
        <v>5</v>
      </c>
      <c r="D6" s="53">
        <f t="array" ref="D6">SUM(($B$11:$B$29=B6) * $F$11:$F$29)</f>
        <v>571</v>
      </c>
      <c r="E6" s="33">
        <f t="array" ref="E6">SUM(IF(($B$11:$B$29=B6) * ($D$11:$D$29="김승진"), $F$11:$F$29))</f>
        <v>101</v>
      </c>
      <c r="F6" s="34">
        <f t="array" ref="F6">AVERAGE(IF($B$11:$B$29=B6, $G$11:$G$29))</f>
        <v>576000</v>
      </c>
      <c r="G6" s="15">
        <f t="array" ref="G6">MAX(($B$11:$B$29=B6) * $E$11:$E$29)</f>
        <v>190000</v>
      </c>
      <c r="H6" s="15">
        <f t="array" ref="H6">LARGE(IF($B$11:$B$29=B6, $E$11:$E$29), 2)</f>
        <v>45000</v>
      </c>
      <c r="I6" s="15">
        <f t="array" ref="I6">MEDIAN(IF($B$11:$B$29=B6, G14:G32))</f>
        <v>400000</v>
      </c>
      <c r="J6" s="27">
        <f t="array" ref="J6">SUM(($B$11:$B$29=B6) * (YEAR($H$11:$H$29)=2018))</f>
        <v>4</v>
      </c>
      <c r="K6" s="27" t="str">
        <f t="array" ref="K6">INDEX($B$11:$H$29, MATCH( MAX(($B$11:$B$29=B6) * $G$11:$G$29), ($B$11:$B$29=B6)*$G$11:$G$29,0), 3)</f>
        <v>성춘향</v>
      </c>
      <c r="L6" s="35"/>
    </row>
    <row r="7" spans="2:12" ht="13.5" customHeight="1">
      <c r="B7" s="27" t="s">
        <v>4</v>
      </c>
      <c r="C7" s="27">
        <f t="array" ref="C7">SUM(IF($B$11:$B$29=B7,1))</f>
        <v>3</v>
      </c>
      <c r="D7" s="53">
        <f t="array" ref="D7">SUM(($B$11:$B$29=B7) * $F$11:$F$29)</f>
        <v>435</v>
      </c>
      <c r="E7" s="33">
        <f t="array" ref="E7">SUM(IF(($B$11:$B$29=B7) * ($D$11:$D$29="김승진"), $F$11:$F$29))</f>
        <v>268</v>
      </c>
      <c r="F7" s="34">
        <f t="array" ref="F7">AVERAGE(IF($B$11:$B$29=B7, $G$11:$G$29))</f>
        <v>513333.33333333331</v>
      </c>
      <c r="G7" s="15">
        <f t="array" ref="G7">MAX(($B$11:$B$29=B7) * $E$11:$E$29)</f>
        <v>30000</v>
      </c>
      <c r="H7" s="15">
        <f t="array" ref="H7">LARGE(IF($B$11:$B$29=B7, $E$11:$E$29), 2)</f>
        <v>25000</v>
      </c>
      <c r="I7" s="15">
        <f t="array" ref="I7">MEDIAN(IF($B$11:$B$29=B7, G15:G33))</f>
        <v>400000</v>
      </c>
      <c r="J7" s="27">
        <f t="array" ref="J7">SUM(($B$11:$B$29=B7) * (YEAR($H$11:$H$29)=2018))</f>
        <v>1</v>
      </c>
      <c r="K7" s="27" t="str">
        <f t="array" ref="K7">INDEX($B$11:$H$29, MATCH( MAX(($B$11:$B$29=B7) * $G$11:$G$29), ($B$11:$B$29=B7)*$G$11:$G$29,0), 3)</f>
        <v>김승진</v>
      </c>
      <c r="L7" s="35"/>
    </row>
    <row r="8" spans="2:12" ht="12" customHeight="1">
      <c r="F8" s="54"/>
    </row>
    <row r="9" spans="2:12" ht="15.75" customHeight="1" thickBot="1">
      <c r="B9" s="11" t="s">
        <v>88</v>
      </c>
    </row>
    <row r="10" spans="2:12" ht="14.25" customHeight="1" thickBot="1">
      <c r="B10" s="36" t="s">
        <v>5</v>
      </c>
      <c r="C10" s="37" t="s">
        <v>89</v>
      </c>
      <c r="D10" s="37" t="s">
        <v>90</v>
      </c>
      <c r="E10" s="38" t="s">
        <v>91</v>
      </c>
      <c r="F10" s="37" t="s">
        <v>92</v>
      </c>
      <c r="G10" s="39" t="s">
        <v>93</v>
      </c>
      <c r="H10" s="40" t="s">
        <v>94</v>
      </c>
    </row>
    <row r="11" spans="2:12" ht="14.25" customHeight="1">
      <c r="B11" s="41" t="s">
        <v>2</v>
      </c>
      <c r="C11" s="42" t="s">
        <v>6</v>
      </c>
      <c r="D11" s="42" t="s">
        <v>95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95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96</v>
      </c>
      <c r="D13" s="47" t="s">
        <v>95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97</v>
      </c>
      <c r="D14" s="47" t="s">
        <v>98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99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100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96</v>
      </c>
      <c r="D17" s="47" t="s">
        <v>101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99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102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103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95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104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99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105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97</v>
      </c>
      <c r="D25" s="47" t="s">
        <v>95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95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96</v>
      </c>
      <c r="D27" s="47" t="s">
        <v>95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103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103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J31"/>
  <sheetViews>
    <sheetView tabSelected="1" workbookViewId="0">
      <selection activeCell="C3" sqref="C3"/>
    </sheetView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6384" width="9" style="10"/>
  </cols>
  <sheetData>
    <row r="1" spans="2:10">
      <c r="B1" s="9" t="s">
        <v>48</v>
      </c>
      <c r="D1" s="9"/>
      <c r="E1" s="11"/>
      <c r="F1" s="9" t="s">
        <v>49</v>
      </c>
      <c r="G1" s="11"/>
    </row>
    <row r="2" spans="2:10" ht="16.5" customHeight="1">
      <c r="B2" s="12" t="s">
        <v>50</v>
      </c>
      <c r="C2" s="13" t="s">
        <v>51</v>
      </c>
      <c r="D2" s="13" t="s">
        <v>52</v>
      </c>
      <c r="F2" s="55" t="s">
        <v>53</v>
      </c>
      <c r="G2" s="56"/>
    </row>
    <row r="3" spans="2:10">
      <c r="B3" s="14" t="s">
        <v>54</v>
      </c>
      <c r="C3" s="15"/>
      <c r="D3" s="15"/>
      <c r="E3" s="16"/>
      <c r="F3" s="56"/>
      <c r="G3" s="56"/>
    </row>
    <row r="4" spans="2:10">
      <c r="B4" s="14" t="s">
        <v>55</v>
      </c>
      <c r="C4" s="15"/>
      <c r="D4" s="15"/>
      <c r="F4" s="14" t="s">
        <v>52</v>
      </c>
      <c r="G4" s="17"/>
    </row>
    <row r="5" spans="2:10">
      <c r="B5" s="11"/>
      <c r="D5" s="18"/>
      <c r="F5" s="14" t="s">
        <v>51</v>
      </c>
      <c r="G5" s="17"/>
    </row>
    <row r="6" spans="2:10">
      <c r="B6" s="9" t="s">
        <v>56</v>
      </c>
      <c r="C6" s="9"/>
      <c r="E6" s="11"/>
    </row>
    <row r="7" spans="2:10">
      <c r="B7" s="14" t="s">
        <v>57</v>
      </c>
      <c r="C7" s="13" t="s">
        <v>58</v>
      </c>
      <c r="D7" s="13" t="s">
        <v>59</v>
      </c>
    </row>
    <row r="8" spans="2:10">
      <c r="B8" s="14" t="s">
        <v>60</v>
      </c>
      <c r="C8" s="17"/>
      <c r="D8" s="17"/>
    </row>
    <row r="9" spans="2:10">
      <c r="B9" s="14" t="s">
        <v>61</v>
      </c>
      <c r="C9" s="17"/>
      <c r="D9" s="17"/>
    </row>
    <row r="10" spans="2:10">
      <c r="B10" s="14" t="s">
        <v>62</v>
      </c>
      <c r="C10" s="17"/>
      <c r="D10" s="17"/>
    </row>
    <row r="12" spans="2:10" ht="17.25" thickBot="1">
      <c r="B12" s="9" t="s">
        <v>63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64</v>
      </c>
      <c r="C13" s="20" t="s">
        <v>65</v>
      </c>
      <c r="D13" s="20" t="s">
        <v>66</v>
      </c>
      <c r="E13" s="20" t="s">
        <v>67</v>
      </c>
      <c r="F13" s="20" t="s">
        <v>68</v>
      </c>
      <c r="G13" s="20" t="s">
        <v>69</v>
      </c>
      <c r="H13" s="21" t="s">
        <v>70</v>
      </c>
    </row>
    <row r="14" spans="2:10">
      <c r="B14" s="22" t="s">
        <v>71</v>
      </c>
      <c r="C14" s="23" t="s">
        <v>52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58</v>
      </c>
    </row>
    <row r="15" spans="2:10">
      <c r="B15" s="26" t="s">
        <v>71</v>
      </c>
      <c r="C15" s="27" t="s">
        <v>51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13</v>
      </c>
    </row>
    <row r="16" spans="2:10">
      <c r="B16" s="26" t="s">
        <v>72</v>
      </c>
      <c r="C16" s="27" t="s">
        <v>52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59</v>
      </c>
    </row>
    <row r="17" spans="2:8">
      <c r="B17" s="26" t="s">
        <v>72</v>
      </c>
      <c r="C17" s="27" t="s">
        <v>51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13</v>
      </c>
    </row>
    <row r="18" spans="2:8">
      <c r="B18" s="26" t="s">
        <v>73</v>
      </c>
      <c r="C18" s="27" t="s">
        <v>52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13</v>
      </c>
    </row>
    <row r="19" spans="2:8">
      <c r="B19" s="26" t="s">
        <v>73</v>
      </c>
      <c r="C19" s="27" t="s">
        <v>51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14</v>
      </c>
    </row>
    <row r="20" spans="2:8">
      <c r="B20" s="26" t="s">
        <v>74</v>
      </c>
      <c r="C20" s="27" t="s">
        <v>52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14</v>
      </c>
    </row>
    <row r="21" spans="2:8">
      <c r="B21" s="26" t="s">
        <v>74</v>
      </c>
      <c r="C21" s="27" t="s">
        <v>51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59</v>
      </c>
    </row>
    <row r="22" spans="2:8">
      <c r="B22" s="26" t="s">
        <v>75</v>
      </c>
      <c r="C22" s="27" t="s">
        <v>52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58</v>
      </c>
    </row>
    <row r="23" spans="2:8">
      <c r="B23" s="26" t="s">
        <v>75</v>
      </c>
      <c r="C23" s="27" t="s">
        <v>51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59</v>
      </c>
    </row>
    <row r="24" spans="2:8">
      <c r="B24" s="26" t="s">
        <v>76</v>
      </c>
      <c r="C24" s="27" t="s">
        <v>52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13</v>
      </c>
    </row>
    <row r="25" spans="2:8" ht="17.25" thickBot="1">
      <c r="B25" s="28" t="s">
        <v>76</v>
      </c>
      <c r="C25" s="29" t="s">
        <v>51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14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1:I33"/>
  <sheetViews>
    <sheetView workbookViewId="0"/>
  </sheetViews>
  <sheetFormatPr defaultRowHeight="13.5"/>
  <cols>
    <col min="1" max="1" width="2" style="1" customWidth="1"/>
    <col min="2" max="2" width="8" style="1" bestFit="1" customWidth="1"/>
    <col min="3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15</v>
      </c>
      <c r="C2" s="3" t="s">
        <v>16</v>
      </c>
      <c r="D2" s="3" t="s">
        <v>17</v>
      </c>
      <c r="E2" s="3" t="s">
        <v>18</v>
      </c>
      <c r="G2" s="1" t="s">
        <v>10</v>
      </c>
    </row>
    <row r="3" spans="2:9">
      <c r="B3" s="2" t="s">
        <v>19</v>
      </c>
      <c r="C3" s="4"/>
      <c r="D3" s="4"/>
      <c r="E3" s="4"/>
      <c r="G3" s="2" t="s">
        <v>20</v>
      </c>
      <c r="H3" s="3" t="s">
        <v>21</v>
      </c>
    </row>
    <row r="4" spans="2:9">
      <c r="B4" s="2" t="s">
        <v>22</v>
      </c>
      <c r="C4" s="4"/>
      <c r="D4" s="4"/>
      <c r="E4" s="4"/>
      <c r="G4" s="2" t="s">
        <v>16</v>
      </c>
      <c r="H4" s="4"/>
    </row>
    <row r="5" spans="2:9">
      <c r="B5" s="2" t="s">
        <v>23</v>
      </c>
      <c r="C5" s="4"/>
      <c r="D5" s="4"/>
      <c r="E5" s="4"/>
      <c r="G5" s="2" t="s">
        <v>17</v>
      </c>
      <c r="H5" s="4"/>
    </row>
    <row r="6" spans="2:9">
      <c r="B6" s="2" t="s">
        <v>24</v>
      </c>
      <c r="C6" s="4"/>
      <c r="D6" s="4"/>
      <c r="E6" s="4"/>
      <c r="G6" s="2" t="s">
        <v>18</v>
      </c>
      <c r="H6" s="4"/>
    </row>
    <row r="8" spans="2:9">
      <c r="B8" s="1" t="s">
        <v>11</v>
      </c>
    </row>
    <row r="9" spans="2:9">
      <c r="B9" s="2" t="s">
        <v>25</v>
      </c>
      <c r="C9" s="3" t="s">
        <v>26</v>
      </c>
      <c r="D9" s="3" t="s">
        <v>27</v>
      </c>
    </row>
    <row r="10" spans="2:9">
      <c r="B10" s="2"/>
      <c r="C10" s="3" t="s">
        <v>28</v>
      </c>
      <c r="D10" s="3" t="s">
        <v>28</v>
      </c>
    </row>
    <row r="11" spans="2:9">
      <c r="B11" s="2" t="s">
        <v>19</v>
      </c>
      <c r="C11" s="5"/>
      <c r="D11" s="5"/>
    </row>
    <row r="12" spans="2:9">
      <c r="B12" s="2" t="s">
        <v>22</v>
      </c>
      <c r="C12" s="5"/>
      <c r="D12" s="5"/>
    </row>
    <row r="13" spans="2:9">
      <c r="B13" s="2" t="s">
        <v>23</v>
      </c>
      <c r="C13" s="5"/>
      <c r="D13" s="5"/>
    </row>
    <row r="14" spans="2:9">
      <c r="B14" s="2" t="s">
        <v>24</v>
      </c>
      <c r="C14" s="5"/>
      <c r="D14" s="5"/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12</v>
      </c>
    </row>
    <row r="17" spans="2:8">
      <c r="B17" s="2" t="s">
        <v>29</v>
      </c>
      <c r="C17" s="2" t="s">
        <v>20</v>
      </c>
      <c r="D17" s="2" t="s">
        <v>28</v>
      </c>
      <c r="E17" s="2" t="s">
        <v>30</v>
      </c>
      <c r="F17" s="2" t="s">
        <v>26</v>
      </c>
      <c r="G17" s="2" t="s">
        <v>27</v>
      </c>
      <c r="H17" s="8" t="s">
        <v>31</v>
      </c>
    </row>
    <row r="18" spans="2:8">
      <c r="B18" s="2" t="s">
        <v>19</v>
      </c>
      <c r="C18" s="2" t="s">
        <v>16</v>
      </c>
      <c r="D18" s="2" t="s">
        <v>32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23</v>
      </c>
      <c r="C19" s="2" t="s">
        <v>16</v>
      </c>
      <c r="D19" s="2" t="s">
        <v>33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22</v>
      </c>
      <c r="C20" s="2" t="s">
        <v>16</v>
      </c>
      <c r="D20" s="2" t="s">
        <v>34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19</v>
      </c>
      <c r="C21" s="2" t="s">
        <v>17</v>
      </c>
      <c r="D21" s="2" t="s">
        <v>35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23</v>
      </c>
      <c r="C22" s="2" t="s">
        <v>17</v>
      </c>
      <c r="D22" s="2" t="s">
        <v>36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24</v>
      </c>
      <c r="C23" s="2" t="s">
        <v>17</v>
      </c>
      <c r="D23" s="2" t="s">
        <v>37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19</v>
      </c>
      <c r="C24" s="2" t="s">
        <v>16</v>
      </c>
      <c r="D24" s="2" t="s">
        <v>38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19</v>
      </c>
      <c r="C25" s="2" t="s">
        <v>18</v>
      </c>
      <c r="D25" s="2" t="s">
        <v>39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23</v>
      </c>
      <c r="C26" s="2" t="s">
        <v>18</v>
      </c>
      <c r="D26" s="2" t="s">
        <v>40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24</v>
      </c>
      <c r="C27" s="2" t="s">
        <v>16</v>
      </c>
      <c r="D27" s="2" t="s">
        <v>41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22</v>
      </c>
      <c r="C28" s="2" t="s">
        <v>16</v>
      </c>
      <c r="D28" s="2" t="s">
        <v>42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22</v>
      </c>
      <c r="C29" s="2" t="s">
        <v>18</v>
      </c>
      <c r="D29" s="2" t="s">
        <v>43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22</v>
      </c>
      <c r="C30" s="2" t="s">
        <v>17</v>
      </c>
      <c r="D30" s="2" t="s">
        <v>44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24</v>
      </c>
      <c r="C31" s="2" t="s">
        <v>18</v>
      </c>
      <c r="D31" s="2" t="s">
        <v>45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24</v>
      </c>
      <c r="C32" s="2" t="s">
        <v>17</v>
      </c>
      <c r="D32" s="2" t="s">
        <v>46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19</v>
      </c>
      <c r="C33" s="2" t="s">
        <v>18</v>
      </c>
      <c r="D33" s="2" t="s">
        <v>47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2011-06-14T06:57:50Z</dcterms:created>
  <dcterms:modified xsi:type="dcterms:W3CDTF">2020-07-30T12:53:00Z</dcterms:modified>
</cp:coreProperties>
</file>