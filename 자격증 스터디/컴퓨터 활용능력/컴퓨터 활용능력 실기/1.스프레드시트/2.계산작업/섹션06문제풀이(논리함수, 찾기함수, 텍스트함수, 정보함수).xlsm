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0E6B2596-A8E4-4AB1-B046-7431D9A05233}" xr6:coauthVersionLast="45" xr6:coauthVersionMax="45" xr10:uidLastSave="{00000000-0000-0000-0000-000000000000}"/>
  <bookViews>
    <workbookView xWindow="0" yWindow="0" windowWidth="20490" windowHeight="10920" activeTab="2" xr2:uid="{00000000-000D-0000-FFFF-FFFF00000000}"/>
  </bookViews>
  <sheets>
    <sheet name="무작정따라하기" sheetId="4" r:id="rId1"/>
    <sheet name="무작정따라하기2" sheetId="5" r:id="rId2"/>
    <sheet name="기출01" sheetId="6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" i="6" l="1"/>
  <c r="F23" i="6"/>
  <c r="F24" i="6"/>
  <c r="F25" i="6"/>
  <c r="F26" i="6"/>
  <c r="F27" i="6"/>
  <c r="F21" i="6"/>
  <c r="F12" i="6"/>
  <c r="F13" i="6"/>
  <c r="F14" i="6"/>
  <c r="F15" i="6"/>
  <c r="F16" i="6"/>
  <c r="F11" i="6"/>
  <c r="F4" i="6"/>
  <c r="F5" i="6"/>
  <c r="F6" i="6"/>
  <c r="F7" i="6"/>
  <c r="F3" i="6"/>
  <c r="B14" i="5"/>
  <c r="B15" i="5"/>
  <c r="B16" i="5"/>
  <c r="B17" i="5"/>
  <c r="B18" i="5"/>
  <c r="B19" i="5"/>
  <c r="B20" i="5"/>
  <c r="B21" i="5"/>
  <c r="B22" i="5"/>
  <c r="B23" i="5"/>
  <c r="B24" i="5"/>
  <c r="B13" i="5"/>
  <c r="F4" i="5"/>
  <c r="F5" i="5"/>
  <c r="F6" i="5"/>
  <c r="F7" i="5"/>
  <c r="F8" i="5"/>
  <c r="F9" i="5"/>
  <c r="F3" i="5"/>
  <c r="J4" i="4"/>
  <c r="J5" i="4"/>
  <c r="J6" i="4"/>
  <c r="J3" i="4"/>
  <c r="G11" i="4"/>
  <c r="G12" i="4"/>
  <c r="G13" i="4"/>
  <c r="G14" i="4"/>
  <c r="G15" i="4"/>
  <c r="G16" i="4"/>
  <c r="G10" i="4"/>
  <c r="G4" i="4"/>
  <c r="G5" i="4"/>
  <c r="G6" i="4"/>
  <c r="G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G2" authorId="0" shapeId="0" xr:uid="{C838302F-8837-42FB-8408-02970A1C414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세워서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처음부터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완벽하게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애쓰지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논리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개략적으로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차례대로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쉽다</t>
        </r>
        <r>
          <rPr>
            <sz val="9"/>
            <color indexed="81"/>
            <rFont val="Tahoma"/>
            <family val="2"/>
          </rPr>
          <t xml:space="preserve">. </t>
        </r>
      </text>
    </comment>
    <comment ref="G3" authorId="0" shapeId="0" xr:uid="{EEBFDC2F-804A-419B-B7BF-783BBDDCBBB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INDEX(</t>
        </r>
        <r>
          <rPr>
            <sz val="9"/>
            <color indexed="81"/>
            <rFont val="돋움"/>
            <family val="3"/>
            <charset val="129"/>
          </rPr>
          <t>찾을범위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행위치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열위치</t>
        </r>
        <r>
          <rPr>
            <sz val="9"/>
            <color indexed="81"/>
            <rFont val="Tahoma"/>
            <family val="2"/>
          </rPr>
          <t>)
INDEX</t>
        </r>
        <r>
          <rPr>
            <sz val="9"/>
            <color indexed="81"/>
            <rFont val="돋움"/>
            <family val="3"/>
            <charset val="129"/>
          </rPr>
          <t>함수는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행위치와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열위치에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찾아오는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함수이다</t>
        </r>
        <r>
          <rPr>
            <sz val="9"/>
            <color indexed="81"/>
            <rFont val="Tahoma"/>
            <family val="2"/>
          </rPr>
          <t xml:space="preserve">. </t>
        </r>
      </text>
    </comment>
    <comment ref="G10" authorId="0" shapeId="0" xr:uid="{5DA4AED0-22B7-43C3-9062-0FEBAD03DF9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HLOOKUP(</t>
        </r>
        <r>
          <rPr>
            <sz val="9"/>
            <color indexed="81"/>
            <rFont val="돋움"/>
            <family val="3"/>
            <charset val="129"/>
          </rPr>
          <t>찾을값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찾을범위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행위치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옵션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옵션은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값중에서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하므로</t>
        </r>
        <r>
          <rPr>
            <sz val="9"/>
            <color indexed="81"/>
            <rFont val="Tahoma"/>
            <family val="2"/>
          </rPr>
          <t xml:space="preserve"> TRUE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>, TRUE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F2" authorId="0" shapeId="0" xr:uid="{E00F2B3D-0B57-4B79-89DA-6E916D473689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※문제조건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최종</t>
        </r>
        <r>
          <rPr>
            <sz val="9"/>
            <color indexed="81"/>
            <rFont val="Tahoma"/>
            <family val="2"/>
          </rPr>
          <t xml:space="preserve"> PS</t>
        </r>
        <r>
          <rPr>
            <sz val="9"/>
            <color indexed="81"/>
            <rFont val="돋움"/>
            <family val="3"/>
            <charset val="129"/>
          </rPr>
          <t>지급율은</t>
        </r>
        <r>
          <rPr>
            <sz val="9"/>
            <color indexed="81"/>
            <rFont val="Tahoma"/>
            <family val="2"/>
          </rPr>
          <t xml:space="preserve"> PS</t>
        </r>
        <r>
          <rPr>
            <sz val="9"/>
            <color indexed="81"/>
            <rFont val="돋움"/>
            <family val="3"/>
            <charset val="129"/>
          </rPr>
          <t>지급율에서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추가지급율</t>
        </r>
        <r>
          <rPr>
            <sz val="9"/>
            <color indexed="81"/>
            <rFont val="Tahoma"/>
            <family val="2"/>
          </rPr>
          <t xml:space="preserve"> 5%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>- PS</t>
        </r>
        <r>
          <rPr>
            <sz val="9"/>
            <color indexed="81"/>
            <rFont val="돋움"/>
            <family val="3"/>
            <charset val="129"/>
          </rPr>
          <t>지급율은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달성율에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 PS</t>
        </r>
        <r>
          <rPr>
            <sz val="9"/>
            <color indexed="81"/>
            <rFont val="돋움"/>
            <family val="3"/>
            <charset val="129"/>
          </rPr>
          <t>지급율</t>
        </r>
        <r>
          <rPr>
            <sz val="9"/>
            <color indexed="81"/>
            <rFont val="Tahoma"/>
            <family val="2"/>
          </rPr>
          <t>[H3:I7]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달성율은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목표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추가지급율은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달성율이</t>
        </r>
        <r>
          <rPr>
            <sz val="9"/>
            <color indexed="81"/>
            <rFont val="Tahoma"/>
            <family val="2"/>
          </rPr>
          <t xml:space="preserve"> 110%</t>
        </r>
        <r>
          <rPr>
            <sz val="9"/>
            <color indexed="81"/>
            <rFont val="돋움"/>
            <family val="3"/>
            <charset val="129"/>
          </rPr>
          <t>이상이고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간접경비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직접경비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결과가</t>
        </r>
        <r>
          <rPr>
            <sz val="9"/>
            <color indexed="81"/>
            <rFont val="Tahoma"/>
            <family val="2"/>
          </rPr>
          <t xml:space="preserve"> 50%</t>
        </r>
        <r>
          <rPr>
            <sz val="9"/>
            <color indexed="81"/>
            <rFont val="돋움"/>
            <family val="3"/>
            <charset val="129"/>
          </rPr>
          <t>이상인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지급하도록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 xml:space="preserve">- VLOOKUP, IF, AND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B12" authorId="0" shapeId="0" xr:uid="{34FE7287-F8F0-4DC4-9C3E-FE9FB93E52F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※문제조건</t>
        </r>
        <r>
          <rPr>
            <sz val="9"/>
            <color indexed="81"/>
            <rFont val="Tahoma"/>
            <family val="2"/>
          </rPr>
          <t xml:space="preserve"> 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4] </t>
        </r>
        <r>
          <rPr>
            <sz val="9"/>
            <color indexed="81"/>
            <rFont val="돋움"/>
            <family val="3"/>
            <charset val="129"/>
          </rPr>
          <t>조견표</t>
        </r>
        <r>
          <rPr>
            <sz val="9"/>
            <color indexed="81"/>
            <rFont val="Tahoma"/>
            <family val="2"/>
          </rPr>
          <t>1,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5] </t>
        </r>
        <r>
          <rPr>
            <sz val="9"/>
            <color indexed="81"/>
            <rFont val="돋움"/>
            <family val="3"/>
            <charset val="129"/>
          </rPr>
          <t>조건표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INDEX, VLOOKUP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B13" authorId="0" shapeId="0" xr:uid="{B00082D4-5348-4914-B4E8-B395181A18B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찾을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하므로</t>
        </r>
        <r>
          <rPr>
            <sz val="9"/>
            <color indexed="81"/>
            <rFont val="Tahoma"/>
            <family val="2"/>
          </rPr>
          <t xml:space="preserve"> VLOOKUP</t>
        </r>
        <r>
          <rPr>
            <sz val="9"/>
            <color indexed="81"/>
            <rFont val="돋움"/>
            <family val="3"/>
            <charset val="129"/>
          </rPr>
          <t>함수의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옵션상</t>
        </r>
        <r>
          <rPr>
            <sz val="9"/>
            <color indexed="81"/>
            <rFont val="Tahoma"/>
            <family val="2"/>
          </rPr>
          <t xml:space="preserve"> FALSE</t>
        </r>
        <r>
          <rPr>
            <sz val="9"/>
            <color indexed="81"/>
            <rFont val="돋움"/>
            <family val="3"/>
            <charset val="129"/>
          </rPr>
          <t xml:space="preserve">채택
</t>
        </r>
      </text>
    </comment>
  </commentList>
</comments>
</file>

<file path=xl/sharedStrings.xml><?xml version="1.0" encoding="utf-8"?>
<sst xmlns="http://schemas.openxmlformats.org/spreadsheetml/2006/main" count="182" uniqueCount="139">
  <si>
    <t>[표1]</t>
    <phoneticPr fontId="3" type="noConversion"/>
  </si>
  <si>
    <t>대리점별 가전제품 판매현황</t>
  </si>
  <si>
    <t>단위:백대</t>
    <phoneticPr fontId="3" type="noConversion"/>
  </si>
  <si>
    <t>[표3]</t>
    <phoneticPr fontId="3" type="noConversion"/>
  </si>
  <si>
    <t>대리점</t>
    <phoneticPr fontId="3" type="noConversion"/>
  </si>
  <si>
    <t>PDP</t>
    <phoneticPr fontId="3" type="noConversion"/>
  </si>
  <si>
    <t>DVD</t>
    <phoneticPr fontId="3" type="noConversion"/>
  </si>
  <si>
    <t>디지털카메라</t>
    <phoneticPr fontId="3" type="noConversion"/>
  </si>
  <si>
    <t>MP3</t>
    <phoneticPr fontId="3" type="noConversion"/>
  </si>
  <si>
    <t>컴퓨터</t>
    <phoneticPr fontId="3" type="noConversion"/>
  </si>
  <si>
    <t>최다판매제품</t>
    <phoneticPr fontId="3" type="noConversion"/>
  </si>
  <si>
    <t>초과강의명</t>
    <phoneticPr fontId="3" type="noConversion"/>
  </si>
  <si>
    <t>강의기호</t>
    <phoneticPr fontId="3" type="noConversion"/>
  </si>
  <si>
    <t>종로지점</t>
    <phoneticPr fontId="3" type="noConversion"/>
  </si>
  <si>
    <t>asp(공개강의)_WEB</t>
    <phoneticPr fontId="3" type="noConversion"/>
  </si>
  <si>
    <t>동대문지점</t>
    <phoneticPr fontId="3" type="noConversion"/>
  </si>
  <si>
    <t>Jsp(재수강)_WEB</t>
    <phoneticPr fontId="3" type="noConversion"/>
  </si>
  <si>
    <t>서대문지점</t>
    <phoneticPr fontId="3" type="noConversion"/>
  </si>
  <si>
    <t>cgi(교양)_WEB</t>
    <phoneticPr fontId="3" type="noConversion"/>
  </si>
  <si>
    <t>남대문지점</t>
    <phoneticPr fontId="3" type="noConversion"/>
  </si>
  <si>
    <t>nsapi/isapi_ASP</t>
    <phoneticPr fontId="3" type="noConversion"/>
  </si>
  <si>
    <t>[표2]</t>
    <phoneticPr fontId="3" type="noConversion"/>
  </si>
  <si>
    <t>과정별 시험 등급</t>
    <phoneticPr fontId="3" type="noConversion"/>
  </si>
  <si>
    <t>과정구분</t>
    <phoneticPr fontId="3" type="noConversion"/>
  </si>
  <si>
    <t>시험형태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</si>
  <si>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</si>
  <si>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</si>
  <si>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</si>
  <si>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</si>
  <si>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등급</t>
    <phoneticPr fontId="3" type="noConversion"/>
  </si>
  <si>
    <t>엑셀중급</t>
  </si>
  <si>
    <t>필기</t>
    <phoneticPr fontId="3" type="noConversion"/>
  </si>
  <si>
    <t>실기</t>
    <phoneticPr fontId="3" type="noConversion"/>
  </si>
  <si>
    <t>실기</t>
  </si>
  <si>
    <t>엑셀초급</t>
  </si>
  <si>
    <t>필기</t>
  </si>
  <si>
    <t>워드초급</t>
  </si>
  <si>
    <t>평균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</si>
  <si>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</si>
  <si>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</si>
  <si>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</si>
  <si>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</si>
  <si>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소속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</si>
  <si>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</si>
  <si>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</si>
  <si>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</si>
  <si>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</si>
  <si>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최종PS지급율</t>
    <phoneticPr fontId="3" type="noConversion"/>
  </si>
  <si>
    <t>서울1팀</t>
    <phoneticPr fontId="3" type="noConversion"/>
  </si>
  <si>
    <t>달성율</t>
    <phoneticPr fontId="3" type="noConversion"/>
  </si>
  <si>
    <t>과천1팀</t>
    <phoneticPr fontId="3" type="noConversion"/>
  </si>
  <si>
    <t>과천2팀</t>
    <phoneticPr fontId="3" type="noConversion"/>
  </si>
  <si>
    <t>매장관리</t>
    <phoneticPr fontId="3" type="noConversion"/>
  </si>
  <si>
    <t>[표4] 조견표1</t>
    <phoneticPr fontId="3" type="noConversion"/>
  </si>
  <si>
    <t>매장번호</t>
  </si>
  <si>
    <t>매장구분</t>
    <phoneticPr fontId="3" type="noConversion"/>
  </si>
  <si>
    <t>매장명</t>
  </si>
  <si>
    <t>디자인번호</t>
  </si>
  <si>
    <t>수량</t>
  </si>
  <si>
    <t>구분코드</t>
    <phoneticPr fontId="3" type="noConversion"/>
  </si>
  <si>
    <t>갤러리아</t>
  </si>
  <si>
    <t>J009</t>
  </si>
  <si>
    <t>J014</t>
  </si>
  <si>
    <t>롯데잠실</t>
  </si>
  <si>
    <t>J003</t>
  </si>
  <si>
    <t>S003</t>
  </si>
  <si>
    <t>명동 신세계</t>
  </si>
  <si>
    <t>J007</t>
  </si>
  <si>
    <t>부산비자비</t>
  </si>
  <si>
    <t>J006</t>
  </si>
  <si>
    <t>[표5] 조견표2</t>
    <phoneticPr fontId="3" type="noConversion"/>
  </si>
  <si>
    <t>매장구분</t>
  </si>
  <si>
    <t>탐라</t>
  </si>
  <si>
    <t>백화점</t>
    <phoneticPr fontId="3" type="noConversion"/>
  </si>
  <si>
    <t>V007</t>
  </si>
  <si>
    <t>마트직영점</t>
    <phoneticPr fontId="3" type="noConversion"/>
  </si>
  <si>
    <t>J072</t>
  </si>
  <si>
    <t>쇼핑몰</t>
    <phoneticPr fontId="3" type="noConversion"/>
  </si>
  <si>
    <t>직원별 야근 수당</t>
    <phoneticPr fontId="3" type="noConversion"/>
  </si>
  <si>
    <t>[표4] 일별야근수당</t>
    <phoneticPr fontId="3" type="noConversion"/>
  </si>
  <si>
    <t>이름</t>
    <phoneticPr fontId="3" type="noConversion"/>
  </si>
  <si>
    <t>부서</t>
    <phoneticPr fontId="3" type="noConversion"/>
  </si>
  <si>
    <t>TOEIC</t>
    <phoneticPr fontId="3" type="noConversion"/>
  </si>
  <si>
    <t>JPT</t>
    <phoneticPr fontId="3" type="noConversion"/>
  </si>
  <si>
    <t>야근일수</t>
    <phoneticPr fontId="3" type="noConversion"/>
  </si>
  <si>
    <t>수당</t>
    <phoneticPr fontId="3" type="noConversion"/>
  </si>
  <si>
    <t>구분(야근일수)</t>
    <phoneticPr fontId="3" type="noConversion"/>
  </si>
  <si>
    <t>홍길동</t>
  </si>
  <si>
    <t>총무부</t>
    <phoneticPr fontId="3" type="noConversion"/>
  </si>
  <si>
    <t>정하영</t>
  </si>
  <si>
    <t>인사부</t>
    <phoneticPr fontId="3" type="noConversion"/>
  </si>
  <si>
    <t>이도현</t>
  </si>
  <si>
    <t>영업부</t>
    <phoneticPr fontId="3" type="noConversion"/>
  </si>
  <si>
    <t>정현석</t>
  </si>
  <si>
    <t>이지영</t>
  </si>
  <si>
    <t>제작방법에 따른 광고 수익 형태</t>
    <phoneticPr fontId="3" type="noConversion"/>
  </si>
  <si>
    <t>제작방법</t>
    <phoneticPr fontId="3" type="noConversion"/>
  </si>
  <si>
    <t>책임자</t>
    <phoneticPr fontId="3" type="noConversion"/>
  </si>
  <si>
    <t>광고시간(초)</t>
    <phoneticPr fontId="3" type="noConversion"/>
  </si>
  <si>
    <t>방영일수</t>
    <phoneticPr fontId="3" type="noConversion"/>
  </si>
  <si>
    <t>MH</t>
    <phoneticPr fontId="3" type="noConversion"/>
  </si>
  <si>
    <t>총 광고수익</t>
    <phoneticPr fontId="3" type="noConversion"/>
  </si>
  <si>
    <t>전사지원</t>
    <phoneticPr fontId="3" type="noConversion"/>
  </si>
  <si>
    <t>김정식</t>
    <phoneticPr fontId="3" type="noConversion"/>
  </si>
  <si>
    <t>광고비용</t>
    <phoneticPr fontId="3" type="noConversion"/>
  </si>
  <si>
    <t>외주용역</t>
    <phoneticPr fontId="3" type="noConversion"/>
  </si>
  <si>
    <t>외주협조</t>
    <phoneticPr fontId="3" type="noConversion"/>
  </si>
  <si>
    <t>박명수</t>
  </si>
  <si>
    <t>본부협조</t>
    <phoneticPr fontId="3" type="noConversion"/>
  </si>
  <si>
    <t>사원별 근속수당</t>
    <phoneticPr fontId="3" type="noConversion"/>
  </si>
  <si>
    <t>사원번호</t>
  </si>
  <si>
    <t>입사일</t>
    <phoneticPr fontId="5" type="noConversion"/>
  </si>
  <si>
    <t>소속</t>
    <phoneticPr fontId="5" type="noConversion"/>
  </si>
  <si>
    <t>직위</t>
  </si>
  <si>
    <t>근속수당</t>
    <phoneticPr fontId="3" type="noConversion"/>
  </si>
  <si>
    <t>TN-012</t>
  </si>
  <si>
    <t>K-P</t>
    <phoneticPr fontId="5" type="noConversion"/>
  </si>
  <si>
    <t>과장</t>
  </si>
  <si>
    <t>TN-011</t>
  </si>
  <si>
    <t>S-M</t>
    <phoneticPr fontId="5" type="noConversion"/>
  </si>
  <si>
    <t>TN-014</t>
  </si>
  <si>
    <t>K-E</t>
    <phoneticPr fontId="5" type="noConversion"/>
  </si>
  <si>
    <t>TN-015</t>
  </si>
  <si>
    <t>대리</t>
  </si>
  <si>
    <t>TN-021</t>
  </si>
  <si>
    <t>TN-019</t>
  </si>
  <si>
    <t>TN-004</t>
  </si>
  <si>
    <t>부장</t>
  </si>
  <si>
    <r>
      <t>&lt;등급기준표</t>
    </r>
    <r>
      <rPr>
        <sz val="11"/>
        <color theme="1"/>
        <rFont val="맑은 고딕"/>
        <family val="3"/>
        <charset val="129"/>
        <scheme val="minor"/>
      </rPr>
      <t>&gt;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</si>
  <si>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</si>
  <si>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광고시간(초)별 광고비용</t>
    </r>
    <phoneticPr fontId="3" type="noConversion"/>
  </si>
  <si>
    <r>
      <t>[표3</t>
    </r>
    <r>
      <rPr>
        <sz val="11"/>
        <color theme="1"/>
        <rFont val="맑은 고딕"/>
        <family val="3"/>
        <charset val="129"/>
        <scheme val="minor"/>
      </rPr>
      <t>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</si>
  <si>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</si>
  <si>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r>
      <t>최종P</t>
    </r>
    <r>
      <rPr>
        <sz val="11"/>
        <color theme="1"/>
        <rFont val="맑은 고딕"/>
        <family val="3"/>
        <charset val="129"/>
        <scheme val="minor"/>
      </rPr>
      <t>S지급율</t>
    </r>
    <phoneticPr fontId="3" type="noConversion"/>
  </si>
  <si>
    <r>
      <t xml:space="preserve">[표3] </t>
    </r>
    <r>
      <rPr>
        <sz val="11"/>
        <color theme="1"/>
        <rFont val="맑은 고딕"/>
        <family val="3"/>
        <charset val="129"/>
        <scheme val="minor"/>
      </rPr>
      <t>PS지급율</t>
    </r>
    <phoneticPr fontId="3" type="noConversion"/>
  </si>
  <si>
    <t>PS지급율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</si>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</sst>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%\ &quot;이&quot;&quot;상&quot;"/>
    <numFmt numFmtId="177" formatCode="#,##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4" fillId="0" borderId="0"/>
  </cellStyleXfs>
  <cellXfs count="59">
    <xf numFmtId="0" fontId="0" fillId="0" borderId="0" xfId="0">
      <alignment vertical="center"/>
    </xf>
    <xf numFmtId="41" fontId="6" fillId="0" borderId="2" xfId="2" applyFont="1" applyBorder="1" applyAlignment="1">
      <alignment horizontal="center" vertical="center"/>
    </xf>
    <xf numFmtId="0" fontId="6" fillId="0" borderId="2" xfId="2" applyNumberFormat="1" applyFont="1" applyBorder="1" applyAlignment="1">
      <alignment horizontal="center" vertical="center"/>
    </xf>
    <xf numFmtId="0" fontId="7" fillId="0" borderId="0" xfId="1" applyFont="1"/>
    <xf numFmtId="0" fontId="7" fillId="0" borderId="1" xfId="1" applyFont="1" applyBorder="1" applyAlignment="1"/>
    <xf numFmtId="0" fontId="7" fillId="0" borderId="2" xfId="1" applyFont="1" applyBorder="1" applyAlignment="1">
      <alignment horizontal="center" wrapText="1"/>
    </xf>
    <xf numFmtId="0" fontId="7" fillId="0" borderId="2" xfId="1" applyFont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7" fillId="0" borderId="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7" fillId="0" borderId="2" xfId="1" applyFont="1" applyBorder="1"/>
    <xf numFmtId="41" fontId="7" fillId="0" borderId="2" xfId="2" applyFont="1" applyBorder="1"/>
    <xf numFmtId="41" fontId="7" fillId="0" borderId="2" xfId="2" applyFont="1" applyBorder="1" applyAlignment="1">
      <alignment horizontal="center"/>
    </xf>
    <xf numFmtId="41" fontId="7" fillId="0" borderId="2" xfId="2" applyFont="1" applyBorder="1" applyAlignment="1">
      <alignment horizontal="right"/>
    </xf>
    <xf numFmtId="0" fontId="7" fillId="0" borderId="3" xfId="1" applyFont="1" applyBorder="1" applyAlignment="1">
      <alignment horizontal="left" vertical="center"/>
    </xf>
    <xf numFmtId="0" fontId="7" fillId="0" borderId="2" xfId="1" applyFont="1" applyBorder="1" applyAlignment="1">
      <alignment vertical="center"/>
    </xf>
    <xf numFmtId="41" fontId="7" fillId="0" borderId="0" xfId="1" applyNumberFormat="1" applyFont="1"/>
    <xf numFmtId="0" fontId="8" fillId="0" borderId="2" xfId="1" applyFont="1" applyBorder="1" applyAlignment="1">
      <alignment horizontal="center"/>
    </xf>
    <xf numFmtId="0" fontId="8" fillId="2" borderId="2" xfId="1" applyFont="1" applyFill="1" applyBorder="1" applyAlignment="1">
      <alignment horizontal="center"/>
    </xf>
    <xf numFmtId="14" fontId="7" fillId="0" borderId="2" xfId="1" applyNumberFormat="1" applyFont="1" applyBorder="1" applyAlignment="1">
      <alignment horizontal="center"/>
    </xf>
    <xf numFmtId="0" fontId="7" fillId="0" borderId="2" xfId="2" applyNumberFormat="1" applyFont="1" applyBorder="1" applyAlignment="1">
      <alignment horizontal="center"/>
    </xf>
    <xf numFmtId="0" fontId="7" fillId="0" borderId="2" xfId="1" applyNumberFormat="1" applyFont="1" applyBorder="1" applyAlignment="1">
      <alignment horizontal="center"/>
    </xf>
    <xf numFmtId="0" fontId="7" fillId="0" borderId="2" xfId="3" applyNumberFormat="1" applyFont="1" applyBorder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7" fillId="0" borderId="0" xfId="1" applyFont="1" applyFill="1" applyBorder="1" applyAlignment="1">
      <alignment vertical="center"/>
    </xf>
    <xf numFmtId="0" fontId="8" fillId="0" borderId="2" xfId="1" applyFont="1" applyFill="1" applyBorder="1" applyAlignment="1">
      <alignment horizontal="center"/>
    </xf>
    <xf numFmtId="41" fontId="8" fillId="2" borderId="2" xfId="2" applyFont="1" applyFill="1" applyBorder="1"/>
    <xf numFmtId="0" fontId="9" fillId="0" borderId="0" xfId="1" applyFont="1"/>
    <xf numFmtId="0" fontId="7" fillId="0" borderId="0" xfId="1" applyFont="1" applyAlignment="1">
      <alignment vertical="center"/>
    </xf>
    <xf numFmtId="0" fontId="7" fillId="0" borderId="2" xfId="1" quotePrefix="1" applyNumberFormat="1" applyFont="1" applyBorder="1" applyAlignment="1">
      <alignment horizontal="center" vertical="center"/>
    </xf>
    <xf numFmtId="0" fontId="7" fillId="0" borderId="2" xfId="1" applyNumberFormat="1" applyFont="1" applyBorder="1" applyAlignment="1">
      <alignment horizontal="centerContinuous" vertical="center"/>
    </xf>
    <xf numFmtId="0" fontId="7" fillId="0" borderId="2" xfId="1" applyNumberFormat="1" applyFont="1" applyBorder="1" applyAlignment="1">
      <alignment horizontal="center" vertical="center"/>
    </xf>
    <xf numFmtId="31" fontId="7" fillId="0" borderId="2" xfId="1" applyNumberFormat="1" applyFont="1" applyBorder="1" applyAlignment="1">
      <alignment horizontal="centerContinuous" vertical="center"/>
    </xf>
    <xf numFmtId="14" fontId="7" fillId="0" borderId="2" xfId="1" applyNumberFormat="1" applyFont="1" applyBorder="1" applyAlignment="1">
      <alignment horizontal="centerContinuous" vertical="center"/>
    </xf>
    <xf numFmtId="177" fontId="7" fillId="0" borderId="2" xfId="1" applyNumberFormat="1" applyFont="1" applyBorder="1" applyAlignment="1">
      <alignment vertical="center"/>
    </xf>
    <xf numFmtId="31" fontId="7" fillId="0" borderId="2" xfId="1" quotePrefix="1" applyNumberFormat="1" applyFont="1" applyBorder="1" applyAlignment="1">
      <alignment horizontal="centerContinuous" vertical="center"/>
    </xf>
    <xf numFmtId="14" fontId="7" fillId="0" borderId="2" xfId="1" quotePrefix="1" applyNumberFormat="1" applyFont="1" applyBorder="1" applyAlignment="1">
      <alignment horizontal="centerContinuous" vertical="center"/>
    </xf>
    <xf numFmtId="41" fontId="7" fillId="0" borderId="0" xfId="1" applyNumberFormat="1" applyFont="1" applyAlignment="1">
      <alignment vertical="center"/>
    </xf>
    <xf numFmtId="0" fontId="8" fillId="0" borderId="2" xfId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9" fontId="7" fillId="0" borderId="2" xfId="3" applyFont="1" applyBorder="1" applyAlignment="1">
      <alignment horizontal="center" vertical="center"/>
    </xf>
    <xf numFmtId="0" fontId="8" fillId="0" borderId="2" xfId="1" applyFont="1" applyFill="1" applyBorder="1" applyAlignment="1">
      <alignment horizontal="center" vertical="center"/>
    </xf>
    <xf numFmtId="176" fontId="7" fillId="0" borderId="2" xfId="1" applyNumberFormat="1" applyFont="1" applyBorder="1" applyAlignment="1">
      <alignment horizontal="center" vertical="center"/>
    </xf>
    <xf numFmtId="176" fontId="7" fillId="0" borderId="2" xfId="2" applyNumberFormat="1" applyFont="1" applyBorder="1" applyAlignment="1">
      <alignment horizontal="center" vertical="center"/>
    </xf>
    <xf numFmtId="9" fontId="7" fillId="0" borderId="2" xfId="1" applyNumberFormat="1" applyFont="1" applyBorder="1" applyAlignment="1">
      <alignment horizontal="center" vertical="center"/>
    </xf>
    <xf numFmtId="0" fontId="7" fillId="0" borderId="0" xfId="1" applyFont="1" applyFill="1"/>
    <xf numFmtId="0" fontId="10" fillId="0" borderId="4" xfId="4" applyFont="1" applyFill="1" applyBorder="1" applyAlignment="1"/>
    <xf numFmtId="0" fontId="10" fillId="0" borderId="2" xfId="5" applyFont="1" applyFill="1" applyBorder="1" applyAlignment="1">
      <alignment horizontal="center"/>
    </xf>
    <xf numFmtId="0" fontId="10" fillId="2" borderId="2" xfId="5" applyFont="1" applyFill="1" applyBorder="1" applyAlignment="1">
      <alignment horizontal="center"/>
    </xf>
    <xf numFmtId="0" fontId="10" fillId="0" borderId="2" xfId="4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10" fillId="0" borderId="2" xfId="5" applyNumberFormat="1" applyFont="1" applyFill="1" applyBorder="1" applyAlignment="1">
      <alignment horizontal="center" wrapText="1"/>
    </xf>
    <xf numFmtId="0" fontId="10" fillId="0" borderId="2" xfId="5" applyNumberFormat="1" applyFont="1" applyFill="1" applyBorder="1" applyAlignment="1">
      <alignment wrapText="1"/>
    </xf>
    <xf numFmtId="0" fontId="10" fillId="0" borderId="2" xfId="5" applyFont="1" applyFill="1" applyBorder="1" applyAlignment="1">
      <alignment wrapText="1"/>
    </xf>
    <xf numFmtId="0" fontId="10" fillId="0" borderId="2" xfId="5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1" xfId="1" applyFont="1" applyBorder="1" applyAlignment="1">
      <alignment vertical="center"/>
    </xf>
  </cellXfs>
  <cellStyles count="6">
    <cellStyle name="백분율 2" xfId="3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  <cellStyle name="표준_Sheet5" xfId="4" xr:uid="{00000000-0005-0000-0000-000004000000}"/>
    <cellStyle name="표준_판매일보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"/>
  <sheetViews>
    <sheetView workbookViewId="0">
      <selection activeCell="G3" sqref="G3"/>
    </sheetView>
  </sheetViews>
  <sheetFormatPr defaultRowHeight="16.5"/>
  <cols>
    <col min="1" max="1" width="11.125" style="3" bestFit="1" customWidth="1"/>
    <col min="2" max="2" width="10.5" style="3" bestFit="1" customWidth="1"/>
    <col min="3" max="3" width="12.875" style="3" bestFit="1" customWidth="1"/>
    <col min="4" max="4" width="13.125" style="3" bestFit="1" customWidth="1"/>
    <col min="5" max="5" width="7.125" style="3" bestFit="1" customWidth="1"/>
    <col min="6" max="6" width="8.875" style="3" bestFit="1" customWidth="1"/>
    <col min="7" max="7" width="13.125" style="3" bestFit="1" customWidth="1"/>
    <col min="8" max="8" width="6.5" style="3" customWidth="1"/>
    <col min="9" max="9" width="19.5" style="3" bestFit="1" customWidth="1"/>
    <col min="10" max="10" width="14.5" style="3" bestFit="1" customWidth="1"/>
    <col min="11" max="11" width="15.5" style="3" bestFit="1" customWidth="1"/>
    <col min="12" max="12" width="14.75" style="3" bestFit="1" customWidth="1"/>
    <col min="13" max="16384" width="9" style="3"/>
  </cols>
  <sheetData>
    <row r="1" spans="1:10">
      <c r="A1" s="3" t="s">
        <v>0</v>
      </c>
      <c r="B1" s="4" t="s">
        <v>1</v>
      </c>
      <c r="G1" s="3" t="s">
        <v>2</v>
      </c>
      <c r="I1" s="3" t="s">
        <v>3</v>
      </c>
    </row>
    <row r="2" spans="1:10">
      <c r="A2" s="5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7" t="s">
        <v>10</v>
      </c>
      <c r="I2" s="8" t="s">
        <v>11</v>
      </c>
      <c r="J2" s="9" t="s">
        <v>12</v>
      </c>
    </row>
    <row r="3" spans="1:10">
      <c r="A3" s="10" t="s">
        <v>13</v>
      </c>
      <c r="B3" s="11">
        <v>500</v>
      </c>
      <c r="C3" s="12">
        <v>1200</v>
      </c>
      <c r="D3" s="12">
        <v>1205</v>
      </c>
      <c r="E3" s="13">
        <v>35</v>
      </c>
      <c r="F3" s="13">
        <v>1340</v>
      </c>
      <c r="G3" s="10" t="str">
        <f>INDEX($B$2:$F$2,1,MATCH(MAX(B3:F3), B3:F3, 0))</f>
        <v>컴퓨터</v>
      </c>
      <c r="I3" s="14" t="s">
        <v>14</v>
      </c>
      <c r="J3" s="15" t="str">
        <f>UPPER(LEFT(I3,LEN(I3)-4))</f>
        <v>ASP(공개강의)</v>
      </c>
    </row>
    <row r="4" spans="1:10">
      <c r="A4" s="10" t="s">
        <v>15</v>
      </c>
      <c r="B4" s="11">
        <v>1300</v>
      </c>
      <c r="C4" s="12">
        <v>800</v>
      </c>
      <c r="D4" s="12">
        <v>680</v>
      </c>
      <c r="E4" s="13">
        <v>60</v>
      </c>
      <c r="F4" s="13">
        <v>1040</v>
      </c>
      <c r="G4" s="10" t="str">
        <f t="shared" ref="G4:G6" si="0">INDEX($B$2:$F$2,1,MATCH(MAX(B4:F4), B4:F4, 0))</f>
        <v>PDP</v>
      </c>
      <c r="I4" s="14" t="s">
        <v>16</v>
      </c>
      <c r="J4" s="15" t="str">
        <f t="shared" ref="J4:J6" si="1">UPPER(LEFT(I4,LEN(I4)-4))</f>
        <v>JSP(재수강)</v>
      </c>
    </row>
    <row r="5" spans="1:10">
      <c r="A5" s="10" t="s">
        <v>17</v>
      </c>
      <c r="B5" s="11">
        <v>700</v>
      </c>
      <c r="C5" s="12">
        <v>600</v>
      </c>
      <c r="D5" s="12">
        <v>600</v>
      </c>
      <c r="E5" s="13">
        <v>720</v>
      </c>
      <c r="F5" s="13">
        <v>540</v>
      </c>
      <c r="G5" s="10" t="str">
        <f t="shared" si="0"/>
        <v>MP3</v>
      </c>
      <c r="I5" s="14" t="s">
        <v>18</v>
      </c>
      <c r="J5" s="15" t="str">
        <f t="shared" si="1"/>
        <v>CGI(교양)</v>
      </c>
    </row>
    <row r="6" spans="1:10">
      <c r="A6" s="10" t="s">
        <v>19</v>
      </c>
      <c r="B6" s="11">
        <v>560</v>
      </c>
      <c r="C6" s="12">
        <v>800</v>
      </c>
      <c r="D6" s="12">
        <v>930</v>
      </c>
      <c r="E6" s="13">
        <v>610</v>
      </c>
      <c r="F6" s="13">
        <v>625</v>
      </c>
      <c r="G6" s="10" t="str">
        <f t="shared" si="0"/>
        <v>디지털카메라</v>
      </c>
      <c r="I6" s="14" t="s">
        <v>20</v>
      </c>
      <c r="J6" s="15" t="str">
        <f t="shared" si="1"/>
        <v>NSAPI/ISAPI</v>
      </c>
    </row>
    <row r="8" spans="1:10">
      <c r="A8" s="3" t="s">
        <v>21</v>
      </c>
      <c r="B8" s="3" t="s">
        <v>22</v>
      </c>
      <c r="D8" s="16"/>
      <c r="E8" s="16"/>
    </row>
    <row r="9" spans="1:10">
      <c r="A9" s="17" t="s">
        <v>23</v>
      </c>
      <c r="B9" s="17" t="s">
        <v>24</v>
      </c>
      <c r="C9" s="17" t="s">
        <v>25</v>
      </c>
      <c r="D9" s="17" t="s">
        <v>26</v>
      </c>
      <c r="E9" s="17" t="s">
        <v>27</v>
      </c>
      <c r="F9" s="17" t="s">
        <v>28</v>
      </c>
      <c r="G9" s="18" t="s">
        <v>29</v>
      </c>
    </row>
    <row r="10" spans="1:10">
      <c r="A10" s="6" t="s">
        <v>30</v>
      </c>
      <c r="B10" s="19" t="s">
        <v>31</v>
      </c>
      <c r="C10" s="19">
        <v>41651</v>
      </c>
      <c r="D10" s="20">
        <v>95</v>
      </c>
      <c r="E10" s="20">
        <v>94</v>
      </c>
      <c r="F10" s="20">
        <v>85</v>
      </c>
      <c r="G10" s="6" t="str">
        <f>HLOOKUP(AVERAGE(D10:F10), $B$19:$E$20,2) &amp; "등급"</f>
        <v>A등급</v>
      </c>
    </row>
    <row r="11" spans="1:10">
      <c r="A11" s="6" t="s">
        <v>30</v>
      </c>
      <c r="B11" s="19" t="s">
        <v>32</v>
      </c>
      <c r="C11" s="19">
        <v>41675</v>
      </c>
      <c r="D11" s="20">
        <v>88</v>
      </c>
      <c r="E11" s="20">
        <v>84</v>
      </c>
      <c r="F11" s="20">
        <v>88</v>
      </c>
      <c r="G11" s="6" t="str">
        <f t="shared" ref="G11:G16" si="2">HLOOKUP(AVERAGE(D11:F11), $B$19:$E$20,2) &amp; "등급"</f>
        <v>B등급</v>
      </c>
    </row>
    <row r="12" spans="1:10">
      <c r="A12" s="6" t="s">
        <v>30</v>
      </c>
      <c r="B12" s="6" t="s">
        <v>33</v>
      </c>
      <c r="C12" s="19">
        <v>42125</v>
      </c>
      <c r="D12" s="20">
        <v>80</v>
      </c>
      <c r="E12" s="20">
        <v>60</v>
      </c>
      <c r="F12" s="20">
        <v>85</v>
      </c>
      <c r="G12" s="6" t="str">
        <f t="shared" si="2"/>
        <v>C등급</v>
      </c>
    </row>
    <row r="13" spans="1:10">
      <c r="A13" s="6" t="s">
        <v>34</v>
      </c>
      <c r="B13" s="6" t="s">
        <v>35</v>
      </c>
      <c r="C13" s="19">
        <v>42005</v>
      </c>
      <c r="D13" s="20">
        <v>90</v>
      </c>
      <c r="E13" s="20">
        <v>95</v>
      </c>
      <c r="F13" s="20">
        <v>80</v>
      </c>
      <c r="G13" s="6" t="str">
        <f t="shared" si="2"/>
        <v>B등급</v>
      </c>
    </row>
    <row r="14" spans="1:10">
      <c r="A14" s="6" t="s">
        <v>34</v>
      </c>
      <c r="B14" s="6" t="s">
        <v>33</v>
      </c>
      <c r="C14" s="19">
        <v>42384</v>
      </c>
      <c r="D14" s="20">
        <v>75</v>
      </c>
      <c r="E14" s="20">
        <v>72</v>
      </c>
      <c r="F14" s="20">
        <v>81</v>
      </c>
      <c r="G14" s="6" t="str">
        <f t="shared" si="2"/>
        <v>C등급</v>
      </c>
    </row>
    <row r="15" spans="1:10">
      <c r="A15" s="6" t="s">
        <v>34</v>
      </c>
      <c r="B15" s="6" t="s">
        <v>33</v>
      </c>
      <c r="C15" s="19">
        <v>42370</v>
      </c>
      <c r="D15" s="20">
        <v>90</v>
      </c>
      <c r="E15" s="20">
        <v>91</v>
      </c>
      <c r="F15" s="20">
        <v>83</v>
      </c>
      <c r="G15" s="6" t="str">
        <f t="shared" si="2"/>
        <v>B등급</v>
      </c>
    </row>
    <row r="16" spans="1:10">
      <c r="A16" s="6" t="s">
        <v>36</v>
      </c>
      <c r="B16" s="6" t="s">
        <v>35</v>
      </c>
      <c r="C16" s="19">
        <v>42417</v>
      </c>
      <c r="D16" s="20">
        <v>90</v>
      </c>
      <c r="E16" s="20">
        <v>91</v>
      </c>
      <c r="F16" s="20">
        <v>92</v>
      </c>
      <c r="G16" s="6" t="str">
        <f t="shared" si="2"/>
        <v>A등급</v>
      </c>
    </row>
    <row r="18" spans="1:5">
      <c r="A18" s="3" t="s">
        <v>128</v>
      </c>
    </row>
    <row r="19" spans="1:5">
      <c r="A19" s="6" t="s">
        <v>37</v>
      </c>
      <c r="B19" s="21">
        <v>60</v>
      </c>
      <c r="C19" s="21">
        <v>70</v>
      </c>
      <c r="D19" s="21">
        <v>80</v>
      </c>
      <c r="E19" s="22">
        <v>90</v>
      </c>
    </row>
    <row r="20" spans="1:5">
      <c r="A20" s="6" t="s">
        <v>29</v>
      </c>
      <c r="B20" s="21" t="s">
        <v>38</v>
      </c>
      <c r="C20" s="21" t="s">
        <v>39</v>
      </c>
      <c r="D20" s="21" t="s">
        <v>40</v>
      </c>
      <c r="E20" s="21" t="s">
        <v>41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4"/>
  <sheetViews>
    <sheetView topLeftCell="A7" workbookViewId="0">
      <selection activeCell="B13" sqref="B13:B24"/>
    </sheetView>
  </sheetViews>
  <sheetFormatPr defaultRowHeight="16.5"/>
  <cols>
    <col min="1" max="1" width="11.125" style="3" bestFit="1" customWidth="1"/>
    <col min="2" max="3" width="15.5" style="3" bestFit="1" customWidth="1"/>
    <col min="4" max="5" width="13" style="3" bestFit="1" customWidth="1"/>
    <col min="6" max="6" width="14.75" style="3" bestFit="1" customWidth="1"/>
    <col min="7" max="7" width="2" style="3" customWidth="1"/>
    <col min="8" max="8" width="11.125" style="3" bestFit="1" customWidth="1"/>
    <col min="9" max="9" width="13" style="3" bestFit="1" customWidth="1"/>
    <col min="10" max="10" width="9" style="3"/>
    <col min="11" max="12" width="15.5" style="3" bestFit="1" customWidth="1"/>
    <col min="13" max="13" width="14.75" style="3" bestFit="1" customWidth="1"/>
    <col min="14" max="16384" width="9" style="3"/>
  </cols>
  <sheetData>
    <row r="1" spans="1:9">
      <c r="A1" s="30" t="s">
        <v>132</v>
      </c>
      <c r="B1" s="30" t="s">
        <v>133</v>
      </c>
      <c r="C1" s="30"/>
      <c r="D1" s="39"/>
      <c r="E1" s="30"/>
    </row>
    <row r="2" spans="1:9">
      <c r="A2" s="40" t="s">
        <v>42</v>
      </c>
      <c r="B2" s="40" t="s">
        <v>43</v>
      </c>
      <c r="C2" s="40" t="s">
        <v>44</v>
      </c>
      <c r="D2" s="40" t="s">
        <v>45</v>
      </c>
      <c r="E2" s="40" t="s">
        <v>46</v>
      </c>
      <c r="F2" s="9" t="s">
        <v>47</v>
      </c>
      <c r="H2" s="58" t="s">
        <v>134</v>
      </c>
      <c r="I2" s="58"/>
    </row>
    <row r="3" spans="1:9">
      <c r="A3" s="23" t="s">
        <v>48</v>
      </c>
      <c r="B3" s="41">
        <v>100000000</v>
      </c>
      <c r="C3" s="41">
        <v>110000000</v>
      </c>
      <c r="D3" s="41">
        <v>1200000</v>
      </c>
      <c r="E3" s="41">
        <v>540000</v>
      </c>
      <c r="F3" s="42">
        <f>IF(AND(C3/B3&gt;=110%,E3/D3&gt;=50%), VLOOKUP(C3/B3, $H$4:$I$7,2)+5%, VLOOKUP(C3/B3, $H$4:$I$7, 2) )</f>
        <v>0.3</v>
      </c>
      <c r="H3" s="43" t="s">
        <v>49</v>
      </c>
      <c r="I3" s="43" t="s">
        <v>135</v>
      </c>
    </row>
    <row r="4" spans="1:9">
      <c r="A4" s="23" t="s">
        <v>136</v>
      </c>
      <c r="B4" s="41">
        <v>140000000</v>
      </c>
      <c r="C4" s="41">
        <v>130000000</v>
      </c>
      <c r="D4" s="41">
        <v>2800000</v>
      </c>
      <c r="E4" s="41">
        <v>920000</v>
      </c>
      <c r="F4" s="42">
        <f t="shared" ref="F4:F9" si="0">IF(AND(C4/B4&gt;=110%,E4/D4&gt;=50%), VLOOKUP(C4/B4, $H$4:$I$7,2)+5%, VLOOKUP(C4/B4, $H$4:$I$7, 2) )</f>
        <v>0</v>
      </c>
      <c r="H4" s="44">
        <v>0</v>
      </c>
      <c r="I4" s="23">
        <v>0</v>
      </c>
    </row>
    <row r="5" spans="1:9">
      <c r="A5" s="23" t="s">
        <v>137</v>
      </c>
      <c r="B5" s="41">
        <v>130000000</v>
      </c>
      <c r="C5" s="41">
        <v>130000000</v>
      </c>
      <c r="D5" s="41">
        <v>5020000</v>
      </c>
      <c r="E5" s="41">
        <v>1200000</v>
      </c>
      <c r="F5" s="42">
        <f t="shared" si="0"/>
        <v>0</v>
      </c>
      <c r="H5" s="45">
        <v>1.1000000000000001</v>
      </c>
      <c r="I5" s="46">
        <v>0.3</v>
      </c>
    </row>
    <row r="6" spans="1:9">
      <c r="A6" s="23" t="s">
        <v>138</v>
      </c>
      <c r="B6" s="41">
        <v>140000000</v>
      </c>
      <c r="C6" s="41">
        <v>150000000</v>
      </c>
      <c r="D6" s="41">
        <v>7000000</v>
      </c>
      <c r="E6" s="41">
        <v>2300000</v>
      </c>
      <c r="F6" s="42">
        <f t="shared" si="0"/>
        <v>0</v>
      </c>
      <c r="H6" s="45">
        <v>1.3</v>
      </c>
      <c r="I6" s="46">
        <v>0.5</v>
      </c>
    </row>
    <row r="7" spans="1:9">
      <c r="A7" s="23" t="s">
        <v>50</v>
      </c>
      <c r="B7" s="41">
        <v>100000000</v>
      </c>
      <c r="C7" s="41">
        <v>150000000</v>
      </c>
      <c r="D7" s="41">
        <v>2000000</v>
      </c>
      <c r="E7" s="41">
        <v>1000000</v>
      </c>
      <c r="F7" s="42">
        <f t="shared" si="0"/>
        <v>1.05</v>
      </c>
      <c r="H7" s="44">
        <v>1.5</v>
      </c>
      <c r="I7" s="46">
        <v>1</v>
      </c>
    </row>
    <row r="8" spans="1:9">
      <c r="A8" s="23" t="s">
        <v>51</v>
      </c>
      <c r="B8" s="41">
        <v>90000000</v>
      </c>
      <c r="C8" s="41">
        <v>110000000</v>
      </c>
      <c r="D8" s="41">
        <v>4125000</v>
      </c>
      <c r="E8" s="41">
        <v>2000000</v>
      </c>
      <c r="F8" s="42">
        <f t="shared" si="0"/>
        <v>0.3</v>
      </c>
    </row>
    <row r="9" spans="1:9">
      <c r="A9" s="23" t="s">
        <v>51</v>
      </c>
      <c r="B9" s="41">
        <v>110000000</v>
      </c>
      <c r="C9" s="41">
        <v>120000000</v>
      </c>
      <c r="D9" s="41">
        <v>4897000</v>
      </c>
      <c r="E9" s="41">
        <v>1300000</v>
      </c>
      <c r="F9" s="42">
        <f t="shared" si="0"/>
        <v>0</v>
      </c>
    </row>
    <row r="11" spans="1:9">
      <c r="A11" s="47" t="s">
        <v>129</v>
      </c>
      <c r="B11" s="26" t="s">
        <v>52</v>
      </c>
      <c r="C11" s="47"/>
      <c r="D11" s="47"/>
      <c r="E11" s="47"/>
      <c r="F11" s="47"/>
      <c r="H11" s="48" t="s">
        <v>53</v>
      </c>
      <c r="I11" s="47"/>
    </row>
    <row r="12" spans="1:9">
      <c r="A12" s="49" t="s">
        <v>54</v>
      </c>
      <c r="B12" s="50" t="s">
        <v>55</v>
      </c>
      <c r="C12" s="49" t="s">
        <v>56</v>
      </c>
      <c r="D12" s="49" t="s">
        <v>57</v>
      </c>
      <c r="E12" s="49" t="s">
        <v>58</v>
      </c>
      <c r="H12" s="51" t="s">
        <v>54</v>
      </c>
      <c r="I12" s="52" t="s">
        <v>59</v>
      </c>
    </row>
    <row r="13" spans="1:9">
      <c r="A13" s="53">
        <v>302025</v>
      </c>
      <c r="B13" s="54" t="str">
        <f>INDEX($H$21:$I$24, VLOOKUP(A13, $H$13:$I$17, 2, FALSE), 2)</f>
        <v>대리점</v>
      </c>
      <c r="C13" s="55" t="s">
        <v>60</v>
      </c>
      <c r="D13" s="56" t="s">
        <v>61</v>
      </c>
      <c r="E13" s="53">
        <v>1</v>
      </c>
      <c r="H13" s="52">
        <v>101004</v>
      </c>
      <c r="I13" s="52">
        <v>1</v>
      </c>
    </row>
    <row r="14" spans="1:9">
      <c r="A14" s="53">
        <v>302025</v>
      </c>
      <c r="B14" s="54" t="str">
        <f t="shared" ref="B14:B24" si="1">INDEX($H$21:$I$24, VLOOKUP(A14, $H$13:$I$17, 2, FALSE), 2)</f>
        <v>대리점</v>
      </c>
      <c r="C14" s="55" t="s">
        <v>60</v>
      </c>
      <c r="D14" s="56" t="s">
        <v>62</v>
      </c>
      <c r="E14" s="53">
        <v>1</v>
      </c>
      <c r="H14" s="52">
        <v>103801</v>
      </c>
      <c r="I14" s="52">
        <v>2</v>
      </c>
    </row>
    <row r="15" spans="1:9">
      <c r="A15" s="53">
        <v>302021</v>
      </c>
      <c r="B15" s="54" t="str">
        <f t="shared" si="1"/>
        <v>쇼핑몰</v>
      </c>
      <c r="C15" s="55" t="s">
        <v>63</v>
      </c>
      <c r="D15" s="56" t="s">
        <v>64</v>
      </c>
      <c r="E15" s="53">
        <v>1</v>
      </c>
      <c r="H15" s="52">
        <v>302008</v>
      </c>
      <c r="I15" s="52">
        <v>3</v>
      </c>
    </row>
    <row r="16" spans="1:9">
      <c r="A16" s="53">
        <v>302021</v>
      </c>
      <c r="B16" s="54" t="str">
        <f t="shared" si="1"/>
        <v>쇼핑몰</v>
      </c>
      <c r="C16" s="55" t="s">
        <v>63</v>
      </c>
      <c r="D16" s="56" t="s">
        <v>65</v>
      </c>
      <c r="E16" s="53">
        <v>1</v>
      </c>
      <c r="H16" s="52">
        <v>302021</v>
      </c>
      <c r="I16" s="52">
        <v>3</v>
      </c>
    </row>
    <row r="17" spans="1:9">
      <c r="A17" s="53">
        <v>302008</v>
      </c>
      <c r="B17" s="54" t="str">
        <f t="shared" si="1"/>
        <v>쇼핑몰</v>
      </c>
      <c r="C17" s="55" t="s">
        <v>66</v>
      </c>
      <c r="D17" s="56" t="s">
        <v>67</v>
      </c>
      <c r="E17" s="53">
        <v>1</v>
      </c>
      <c r="H17" s="52">
        <v>302025</v>
      </c>
      <c r="I17" s="52">
        <v>4</v>
      </c>
    </row>
    <row r="18" spans="1:9">
      <c r="A18" s="53">
        <v>101004</v>
      </c>
      <c r="B18" s="54" t="str">
        <f t="shared" si="1"/>
        <v>백화점</v>
      </c>
      <c r="C18" s="55" t="s">
        <v>68</v>
      </c>
      <c r="D18" s="56" t="s">
        <v>69</v>
      </c>
      <c r="E18" s="53">
        <v>1</v>
      </c>
      <c r="H18" s="57"/>
      <c r="I18" s="57"/>
    </row>
    <row r="19" spans="1:9">
      <c r="A19" s="53">
        <v>101004</v>
      </c>
      <c r="B19" s="54" t="str">
        <f t="shared" si="1"/>
        <v>백화점</v>
      </c>
      <c r="C19" s="55" t="s">
        <v>68</v>
      </c>
      <c r="D19" s="56" t="s">
        <v>69</v>
      </c>
      <c r="E19" s="53">
        <v>1</v>
      </c>
      <c r="H19" s="48" t="s">
        <v>70</v>
      </c>
    </row>
    <row r="20" spans="1:9">
      <c r="A20" s="53">
        <v>302008</v>
      </c>
      <c r="B20" s="54" t="str">
        <f t="shared" si="1"/>
        <v>쇼핑몰</v>
      </c>
      <c r="C20" s="55" t="s">
        <v>66</v>
      </c>
      <c r="D20" s="56" t="s">
        <v>67</v>
      </c>
      <c r="E20" s="53">
        <v>2</v>
      </c>
      <c r="H20" s="52" t="s">
        <v>59</v>
      </c>
      <c r="I20" s="51" t="s">
        <v>71</v>
      </c>
    </row>
    <row r="21" spans="1:9">
      <c r="A21" s="53">
        <v>103801</v>
      </c>
      <c r="B21" s="54" t="str">
        <f t="shared" si="1"/>
        <v>마트직영점</v>
      </c>
      <c r="C21" s="55" t="s">
        <v>72</v>
      </c>
      <c r="D21" s="56" t="s">
        <v>67</v>
      </c>
      <c r="E21" s="53">
        <v>1</v>
      </c>
      <c r="H21" s="52">
        <v>1</v>
      </c>
      <c r="I21" s="52" t="s">
        <v>73</v>
      </c>
    </row>
    <row r="22" spans="1:9">
      <c r="A22" s="53">
        <v>103801</v>
      </c>
      <c r="B22" s="54" t="str">
        <f t="shared" si="1"/>
        <v>마트직영점</v>
      </c>
      <c r="C22" s="55" t="s">
        <v>72</v>
      </c>
      <c r="D22" s="56" t="s">
        <v>74</v>
      </c>
      <c r="E22" s="53">
        <v>1</v>
      </c>
      <c r="H22" s="52">
        <v>2</v>
      </c>
      <c r="I22" s="52" t="s">
        <v>75</v>
      </c>
    </row>
    <row r="23" spans="1:9">
      <c r="A23" s="53">
        <v>302008</v>
      </c>
      <c r="B23" s="54" t="str">
        <f t="shared" si="1"/>
        <v>쇼핑몰</v>
      </c>
      <c r="C23" s="55" t="s">
        <v>66</v>
      </c>
      <c r="D23" s="56" t="s">
        <v>76</v>
      </c>
      <c r="E23" s="53">
        <v>1</v>
      </c>
      <c r="H23" s="52">
        <v>3</v>
      </c>
      <c r="I23" s="52" t="s">
        <v>77</v>
      </c>
    </row>
    <row r="24" spans="1:9">
      <c r="A24" s="53">
        <v>302021</v>
      </c>
      <c r="B24" s="54" t="str">
        <f t="shared" si="1"/>
        <v>쇼핑몰</v>
      </c>
      <c r="C24" s="55" t="s">
        <v>63</v>
      </c>
      <c r="D24" s="56" t="s">
        <v>62</v>
      </c>
      <c r="E24" s="53">
        <v>1</v>
      </c>
      <c r="H24" s="52">
        <v>4</v>
      </c>
      <c r="I24" s="52" t="s">
        <v>4</v>
      </c>
    </row>
  </sheetData>
  <mergeCells count="1">
    <mergeCell ref="H2:I2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7"/>
  <sheetViews>
    <sheetView tabSelected="1" topLeftCell="A13" workbookViewId="0">
      <selection activeCell="I24" sqref="I24"/>
    </sheetView>
  </sheetViews>
  <sheetFormatPr defaultRowHeight="16.5"/>
  <cols>
    <col min="1" max="1" width="9.25" style="3" customWidth="1"/>
    <col min="2" max="2" width="7.75" style="3" bestFit="1" customWidth="1"/>
    <col min="3" max="3" width="13.75" style="3" bestFit="1" customWidth="1"/>
    <col min="4" max="5" width="9" style="3"/>
    <col min="6" max="6" width="14.875" style="3" customWidth="1"/>
    <col min="7" max="7" width="6.5" style="3" customWidth="1"/>
    <col min="8" max="8" width="15.625" style="3" bestFit="1" customWidth="1"/>
    <col min="9" max="10" width="9" style="3"/>
    <col min="11" max="11" width="9" style="25"/>
    <col min="12" max="16384" width="9" style="3"/>
  </cols>
  <sheetData>
    <row r="1" spans="1:12">
      <c r="A1" s="3" t="s">
        <v>0</v>
      </c>
      <c r="B1" s="3" t="s">
        <v>78</v>
      </c>
      <c r="H1" s="3" t="s">
        <v>79</v>
      </c>
      <c r="K1" s="3"/>
    </row>
    <row r="2" spans="1:12">
      <c r="A2" s="23" t="s">
        <v>80</v>
      </c>
      <c r="B2" s="23" t="s">
        <v>81</v>
      </c>
      <c r="C2" s="23" t="s">
        <v>82</v>
      </c>
      <c r="D2" s="23" t="s">
        <v>83</v>
      </c>
      <c r="E2" s="23" t="s">
        <v>84</v>
      </c>
      <c r="F2" s="24" t="s">
        <v>85</v>
      </c>
      <c r="H2" s="23" t="s">
        <v>86</v>
      </c>
      <c r="I2" s="23">
        <v>1</v>
      </c>
      <c r="J2" s="23">
        <v>5</v>
      </c>
      <c r="K2" s="23">
        <v>15</v>
      </c>
      <c r="L2" s="23">
        <v>25</v>
      </c>
    </row>
    <row r="3" spans="1:12">
      <c r="A3" s="23" t="s">
        <v>87</v>
      </c>
      <c r="B3" s="23" t="s">
        <v>88</v>
      </c>
      <c r="C3" s="23">
        <v>920</v>
      </c>
      <c r="D3" s="23">
        <v>880</v>
      </c>
      <c r="E3" s="23">
        <v>10</v>
      </c>
      <c r="F3" s="1">
        <f>E3 * HLOOKUP(E3, $I$2:$L$3, 2)</f>
        <v>100000</v>
      </c>
      <c r="H3" s="23" t="s">
        <v>85</v>
      </c>
      <c r="I3" s="2">
        <v>5000</v>
      </c>
      <c r="J3" s="2">
        <v>10000</v>
      </c>
      <c r="K3" s="2">
        <v>15000</v>
      </c>
      <c r="L3" s="2">
        <v>20000</v>
      </c>
    </row>
    <row r="4" spans="1:12">
      <c r="A4" s="23" t="s">
        <v>89</v>
      </c>
      <c r="B4" s="23" t="s">
        <v>90</v>
      </c>
      <c r="C4" s="23">
        <v>910</v>
      </c>
      <c r="D4" s="23">
        <v>720</v>
      </c>
      <c r="E4" s="23">
        <v>3</v>
      </c>
      <c r="F4" s="1">
        <f t="shared" ref="F4:F7" si="0">E4 * HLOOKUP(E4, $I$2:$L$3, 2)</f>
        <v>15000</v>
      </c>
    </row>
    <row r="5" spans="1:12">
      <c r="A5" s="23" t="s">
        <v>91</v>
      </c>
      <c r="B5" s="23" t="s">
        <v>92</v>
      </c>
      <c r="C5" s="23">
        <v>890</v>
      </c>
      <c r="D5" s="23">
        <v>890</v>
      </c>
      <c r="E5" s="23">
        <v>2</v>
      </c>
      <c r="F5" s="1">
        <f t="shared" si="0"/>
        <v>10000</v>
      </c>
    </row>
    <row r="6" spans="1:12">
      <c r="A6" s="23" t="s">
        <v>93</v>
      </c>
      <c r="B6" s="23" t="s">
        <v>88</v>
      </c>
      <c r="C6" s="23">
        <v>890</v>
      </c>
      <c r="D6" s="23">
        <v>840</v>
      </c>
      <c r="E6" s="23">
        <v>5</v>
      </c>
      <c r="F6" s="1">
        <f t="shared" si="0"/>
        <v>50000</v>
      </c>
    </row>
    <row r="7" spans="1:12">
      <c r="A7" s="23" t="s">
        <v>94</v>
      </c>
      <c r="B7" s="23" t="s">
        <v>90</v>
      </c>
      <c r="C7" s="23">
        <v>880</v>
      </c>
      <c r="D7" s="23">
        <v>830</v>
      </c>
      <c r="E7" s="23">
        <v>10</v>
      </c>
      <c r="F7" s="1">
        <f t="shared" si="0"/>
        <v>100000</v>
      </c>
    </row>
    <row r="9" spans="1:12">
      <c r="A9" s="3" t="s">
        <v>129</v>
      </c>
      <c r="B9" s="26" t="s">
        <v>95</v>
      </c>
      <c r="H9" s="3" t="s">
        <v>130</v>
      </c>
      <c r="K9" s="3"/>
    </row>
    <row r="10" spans="1:12">
      <c r="A10" s="17" t="s">
        <v>96</v>
      </c>
      <c r="B10" s="17" t="s">
        <v>97</v>
      </c>
      <c r="C10" s="27" t="s">
        <v>98</v>
      </c>
      <c r="D10" s="17" t="s">
        <v>99</v>
      </c>
      <c r="E10" s="17" t="s">
        <v>100</v>
      </c>
      <c r="F10" s="28" t="s">
        <v>101</v>
      </c>
      <c r="H10" s="10" t="s">
        <v>98</v>
      </c>
      <c r="I10" s="10">
        <v>30</v>
      </c>
      <c r="J10" s="10">
        <v>60</v>
      </c>
      <c r="K10" s="10">
        <v>90</v>
      </c>
      <c r="L10" s="10">
        <v>120</v>
      </c>
    </row>
    <row r="11" spans="1:12">
      <c r="A11" s="23" t="s">
        <v>102</v>
      </c>
      <c r="B11" s="6" t="s">
        <v>103</v>
      </c>
      <c r="C11" s="10">
        <v>30</v>
      </c>
      <c r="D11" s="6">
        <v>13</v>
      </c>
      <c r="E11" s="6">
        <v>48</v>
      </c>
      <c r="F11" s="11">
        <f>IF(LEFT(A11,2)="외주",  HLOOKUP(C11, $I$10:$L$11, 2)*E11,  HLOOKUP(C11, $I$10:$L$11, 2)*E11*1.25)</f>
        <v>18000000</v>
      </c>
      <c r="H11" s="10" t="s">
        <v>104</v>
      </c>
      <c r="I11" s="10">
        <v>300000</v>
      </c>
      <c r="J11" s="10">
        <v>500000</v>
      </c>
      <c r="K11" s="10">
        <v>700000</v>
      </c>
      <c r="L11" s="10">
        <v>900000</v>
      </c>
    </row>
    <row r="12" spans="1:12">
      <c r="A12" s="23" t="s">
        <v>105</v>
      </c>
      <c r="B12" s="6" t="s">
        <v>103</v>
      </c>
      <c r="C12" s="10">
        <v>45</v>
      </c>
      <c r="D12" s="6">
        <v>20</v>
      </c>
      <c r="E12" s="6">
        <v>148</v>
      </c>
      <c r="F12" s="11">
        <f t="shared" ref="F12:F16" si="1">IF(LEFT(A12,2)="외주",  HLOOKUP(C12, $I$10:$L$11, 2)*E12,  HLOOKUP(C12, $I$10:$L$11, 2)*E12*1.25)</f>
        <v>44400000</v>
      </c>
      <c r="K12" s="3"/>
    </row>
    <row r="13" spans="1:12">
      <c r="A13" s="23" t="s">
        <v>102</v>
      </c>
      <c r="B13" s="6" t="s">
        <v>103</v>
      </c>
      <c r="C13" s="10">
        <v>60</v>
      </c>
      <c r="D13" s="6">
        <v>12</v>
      </c>
      <c r="E13" s="6">
        <v>56</v>
      </c>
      <c r="F13" s="11">
        <f t="shared" si="1"/>
        <v>35000000</v>
      </c>
      <c r="K13" s="3"/>
    </row>
    <row r="14" spans="1:12">
      <c r="A14" s="23" t="s">
        <v>106</v>
      </c>
      <c r="B14" s="6" t="s">
        <v>107</v>
      </c>
      <c r="C14" s="10">
        <v>30</v>
      </c>
      <c r="D14" s="6">
        <v>10</v>
      </c>
      <c r="E14" s="6">
        <v>76</v>
      </c>
      <c r="F14" s="11">
        <f t="shared" si="1"/>
        <v>22800000</v>
      </c>
      <c r="G14" s="29"/>
      <c r="H14" s="29"/>
      <c r="I14" s="29"/>
      <c r="J14" s="29"/>
    </row>
    <row r="15" spans="1:12">
      <c r="A15" s="23" t="s">
        <v>105</v>
      </c>
      <c r="B15" s="6" t="s">
        <v>107</v>
      </c>
      <c r="C15" s="10">
        <v>60</v>
      </c>
      <c r="D15" s="6">
        <v>12</v>
      </c>
      <c r="E15" s="6">
        <v>56</v>
      </c>
      <c r="F15" s="11">
        <f t="shared" si="1"/>
        <v>28000000</v>
      </c>
      <c r="G15" s="25"/>
      <c r="K15" s="3"/>
    </row>
    <row r="16" spans="1:12">
      <c r="A16" s="23" t="s">
        <v>108</v>
      </c>
      <c r="B16" s="6" t="s">
        <v>107</v>
      </c>
      <c r="C16" s="10">
        <v>30</v>
      </c>
      <c r="D16" s="6">
        <v>10</v>
      </c>
      <c r="E16" s="6">
        <v>76</v>
      </c>
      <c r="F16" s="11">
        <f t="shared" si="1"/>
        <v>28500000</v>
      </c>
      <c r="G16" s="25"/>
      <c r="K16" s="3"/>
    </row>
    <row r="17" spans="1:11">
      <c r="G17" s="25"/>
      <c r="K17" s="3"/>
    </row>
    <row r="18" spans="1:11">
      <c r="G18" s="25"/>
      <c r="K18" s="3"/>
    </row>
    <row r="19" spans="1:11">
      <c r="A19" s="30" t="s">
        <v>131</v>
      </c>
      <c r="B19" s="30" t="s">
        <v>109</v>
      </c>
      <c r="C19" s="30"/>
      <c r="D19" s="30"/>
      <c r="E19" s="30"/>
      <c r="F19" s="30"/>
      <c r="G19" s="30"/>
      <c r="H19" s="30"/>
      <c r="K19" s="3"/>
    </row>
    <row r="20" spans="1:11">
      <c r="A20" s="31" t="s">
        <v>110</v>
      </c>
      <c r="B20" s="32" t="s">
        <v>111</v>
      </c>
      <c r="C20" s="32"/>
      <c r="D20" s="33" t="s">
        <v>112</v>
      </c>
      <c r="E20" s="31" t="s">
        <v>113</v>
      </c>
      <c r="F20" s="9" t="s">
        <v>114</v>
      </c>
      <c r="K20" s="3"/>
    </row>
    <row r="21" spans="1:11">
      <c r="A21" s="33" t="s">
        <v>115</v>
      </c>
      <c r="B21" s="34">
        <v>39508</v>
      </c>
      <c r="C21" s="35"/>
      <c r="D21" s="33" t="s">
        <v>116</v>
      </c>
      <c r="E21" s="31" t="s">
        <v>117</v>
      </c>
      <c r="F21" s="36">
        <f ca="1">IF(YEAR(TODAY()) - YEAR(B21)&gt;=10, 150000, 50000)</f>
        <v>150000</v>
      </c>
      <c r="K21" s="3"/>
    </row>
    <row r="22" spans="1:11">
      <c r="A22" s="33" t="s">
        <v>118</v>
      </c>
      <c r="B22" s="34">
        <v>41275</v>
      </c>
      <c r="C22" s="35"/>
      <c r="D22" s="33" t="s">
        <v>119</v>
      </c>
      <c r="E22" s="31" t="s">
        <v>117</v>
      </c>
      <c r="F22" s="36">
        <f t="shared" ref="F22:F27" ca="1" si="2">IF(YEAR(TODAY()) - YEAR(B22)&gt;=10, 150000, 50000)</f>
        <v>50000</v>
      </c>
      <c r="K22" s="3"/>
    </row>
    <row r="23" spans="1:11">
      <c r="A23" s="33" t="s">
        <v>120</v>
      </c>
      <c r="B23" s="34">
        <v>39448</v>
      </c>
      <c r="C23" s="35"/>
      <c r="D23" s="33" t="s">
        <v>121</v>
      </c>
      <c r="E23" s="31" t="s">
        <v>117</v>
      </c>
      <c r="F23" s="36">
        <f t="shared" ca="1" si="2"/>
        <v>150000</v>
      </c>
      <c r="I23" s="25"/>
      <c r="K23" s="3"/>
    </row>
    <row r="24" spans="1:11">
      <c r="A24" s="33" t="s">
        <v>122</v>
      </c>
      <c r="B24" s="37">
        <v>40909</v>
      </c>
      <c r="C24" s="38"/>
      <c r="D24" s="33" t="s">
        <v>119</v>
      </c>
      <c r="E24" s="31" t="s">
        <v>123</v>
      </c>
      <c r="F24" s="36">
        <f t="shared" ca="1" si="2"/>
        <v>50000</v>
      </c>
      <c r="I24" s="25"/>
      <c r="K24" s="3"/>
    </row>
    <row r="25" spans="1:11">
      <c r="A25" s="33" t="s">
        <v>124</v>
      </c>
      <c r="B25" s="37">
        <v>42370</v>
      </c>
      <c r="C25" s="38"/>
      <c r="D25" s="33" t="s">
        <v>116</v>
      </c>
      <c r="E25" s="31" t="s">
        <v>123</v>
      </c>
      <c r="F25" s="36">
        <f t="shared" ca="1" si="2"/>
        <v>50000</v>
      </c>
      <c r="I25" s="25"/>
      <c r="K25" s="3"/>
    </row>
    <row r="26" spans="1:11">
      <c r="A26" s="33" t="s">
        <v>125</v>
      </c>
      <c r="B26" s="37">
        <v>40940</v>
      </c>
      <c r="C26" s="38"/>
      <c r="D26" s="33" t="s">
        <v>121</v>
      </c>
      <c r="E26" s="31" t="s">
        <v>123</v>
      </c>
      <c r="F26" s="36">
        <f t="shared" ca="1" si="2"/>
        <v>50000</v>
      </c>
      <c r="I26" s="25"/>
      <c r="K26" s="3"/>
    </row>
    <row r="27" spans="1:11">
      <c r="A27" s="33" t="s">
        <v>126</v>
      </c>
      <c r="B27" s="37">
        <v>38384</v>
      </c>
      <c r="C27" s="38"/>
      <c r="D27" s="33" t="s">
        <v>119</v>
      </c>
      <c r="E27" s="31" t="s">
        <v>127</v>
      </c>
      <c r="F27" s="36">
        <f t="shared" ca="1" si="2"/>
        <v>150000</v>
      </c>
      <c r="I27" s="25"/>
      <c r="K27" s="3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무작정따라하기2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2011-06-14T06:53:02Z</dcterms:created>
  <dcterms:modified xsi:type="dcterms:W3CDTF">2020-06-17T21:30:39Z</dcterms:modified>
</cp:coreProperties>
</file>